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_Dashboard" state="visible" r:id="rId4"/>
    <sheet sheetId="2" name="WBS_01_CORE_AUTH_CRUD" state="visible" r:id="rId5"/>
    <sheet sheetId="3" name="WBS_02_SEARCH_PAGE_THEME" state="visible" r:id="rId6"/>
    <sheet sheetId="4" name="WBS_03_NETWORK_CONNECT" state="visible" r:id="rId7"/>
    <sheet sheetId="5" name="WBS_04_MOMENTS_COMMUNITY" state="visible" r:id="rId8"/>
    <sheet sheetId="6" name="WBS_05_CHAT_VIDEO_CALL" state="visible" r:id="rId9"/>
    <sheet sheetId="7" name="WBS_06_CRM_LEADS_REFERRAL" state="visible" r:id="rId10"/>
    <sheet sheetId="8" name="WBS_07_EMAIL_TEMPLATES" state="visible" r:id="rId11"/>
    <sheet sheetId="9" name="WBS_08_B2B_MARKETPLACE" state="visible" r:id="rId12"/>
    <sheet sheetId="10" name="WBS_09_FINANCE_VAT_EXCEL" state="visible" r:id="rId13"/>
    <sheet sheetId="11" name="WBS_10_EVENT_SEAT_VOTE" state="visible" r:id="rId14"/>
  </sheets>
  <calcPr calcId="171027"/>
</workbook>
</file>

<file path=xl/sharedStrings.xml><?xml version="1.0" encoding="utf-8"?>
<sst xmlns="http://schemas.openxmlformats.org/spreadsheetml/2006/main" count="12267" uniqueCount="3569">
  <si>
    <t>BÁO CÁO TỔNG QUAN PHẠM VI DỰ ÁN VIONE ECOSYSTEM (1,000+ WORK PACKAGES)</t>
  </si>
  <si>
    <t>Dữ liệu ước lượng tổng hợp từ 10 phân hệ nghiệp vụ doanh nghiệp chuẩn PMO Enterprise • Cập nhật: 2026-09-13</t>
  </si>
  <si>
    <t>TỔNG CÔNG VIỆC DỰ ÁN</t>
  </si>
  <si>
    <t>TIẾN ĐỘ TRUNG BÌNH</t>
  </si>
  <si>
    <t>TỔNG SỐ CHỨC NĂNG (TASKS)</t>
  </si>
  <si>
    <t>BẢNG PHÂN TÍCH TIẾN ĐỘ VÀ CÔNG VIỆC THEO 10 PHÂN HỆ CHUYÊN SÂU</t>
  </si>
  <si>
    <t>STT</t>
  </si>
  <si>
    <t>Tên Phân Hệ Nghiệp Vụ</t>
  </si>
  <si>
    <t>Số Chức Năng</t>
  </si>
  <si>
    <t>Công Việc (Man-days)</t>
  </si>
  <si>
    <t>Tiến Độ Trung Bình</t>
  </si>
  <si>
    <t>Trạng Thái Kiểm Thử</t>
  </si>
  <si>
    <t>Đánh Giá Nghiệm Thu</t>
  </si>
  <si>
    <t>1</t>
  </si>
  <si>
    <t>Tài Khoản, Phân Quyền RBAC &amp; CRUD Toàn Hệ Thống</t>
  </si>
  <si>
    <t>Passed (100%)</t>
  </si>
  <si>
    <t>Đạt Chuẩn UAT</t>
  </si>
  <si>
    <t>2</t>
  </si>
  <si>
    <t>Tìm Kiếm, Phân Trang, Bộ Lọc &amp; Chế Độ Màu Theme</t>
  </si>
  <si>
    <t>3</t>
  </si>
  <si>
    <t>Mạng Lưới Kết Nối &amp; Danh Bạ Doanh Nhân B2B</t>
  </si>
  <si>
    <t>4</t>
  </si>
  <si>
    <t>Bảng Tin Moments, Đa Phương Tiện &amp; Cộng Đồng</t>
  </si>
  <si>
    <t>5</t>
  </si>
  <si>
    <t>Nhắn Tin Realtime &amp; Họp Trực Tuyến Video Call</t>
  </si>
  <si>
    <t>6</t>
  </si>
  <si>
    <t>CRM Quản Trị Khách Hàng, Lead &amp; Trao Cơ Hội Referral</t>
  </si>
  <si>
    <t>7</t>
  </si>
  <si>
    <t>Mẫu Email, Trình Soạn Thảo &amp; Chiến Dịch Truyền Thông</t>
  </si>
  <si>
    <t>8</t>
  </si>
  <si>
    <t>Sàn Giao Thương B2B, Báo Giá RFQ &amp; Hợp Đồng Điện Tử</t>
  </si>
  <si>
    <t>9</t>
  </si>
  <si>
    <t>Tài Chính, Hóa Đơn VAT Điện Tử &amp; Xử Lý Excel Hàng Loạt</t>
  </si>
  <si>
    <t>10</t>
  </si>
  <si>
    <t>Sự Kiện, Sơ Đồ Bàn Tiệc VIP, Bầu Cử Số &amp; Thẻ NFC</t>
  </si>
  <si>
    <t/>
  </si>
  <si>
    <t>TỔNG CỘNG TOÀN DỰ ÁN VIONE</t>
  </si>
  <si>
    <t>100% ĐẠT CHUẨN</t>
  </si>
  <si>
    <t>SẴN SÀNG TRIỂN KHAI</t>
  </si>
  <si>
    <t>VIONE MASTER WBS: TÀI KHOẢN, PHÂN QUYỀN RBAC &amp; CRUD TOÀN HỆ THỐNG</t>
  </si>
  <si>
    <t>Tài liệu phạm vi chi tiết PMO Enterprise: 100 tác vụ chuyên sâu • Cập nhật: 2026-09-13</t>
  </si>
  <si>
    <t>Mã WBS</t>
  </si>
  <si>
    <t>Phân Hệ</t>
  </si>
  <si>
    <t>Hạng Mục Cha (Epic / Phase)</t>
  </si>
  <si>
    <t>Chức Năng Con Chi Tiết (User Story / Work Package)</t>
  </si>
  <si>
    <t>Mô Tả Luồng Nghiệp Vụ &amp; Xử Lý Kỹ Thuật (Chi Tiết Chuyên Gia)</t>
  </si>
  <si>
    <t>Tuyến Đường / Endpoint / Screen</t>
  </si>
  <si>
    <t>Vai Trò Thao Tác (Actor)</t>
  </si>
  <si>
    <t>Mức Độ Ưu Tiên</t>
  </si>
  <si>
    <t>Ước Lượng FE (Man-days)</t>
  </si>
  <si>
    <t>Ước Lượng BE (Man-days)</t>
  </si>
  <si>
    <t>Ước Lượng QA (Man-days)</t>
  </si>
  <si>
    <t>Tổng Công Việc (Man-days)</t>
  </si>
  <si>
    <t>Tiến Độ (%)</t>
  </si>
  <si>
    <t>Trạng Thái Dev</t>
  </si>
  <si>
    <t>Trạng Thái Nghiệm Thu</t>
  </si>
  <si>
    <t>Ghi Chú Kỹ Thuật &amp; Kiến Trúc Vận Hành</t>
  </si>
  <si>
    <t>WBS-CORE-0001</t>
  </si>
  <si>
    <t>Tài Khoản &amp; Quản Trị Hệ Thống [Giai đoạn: Khởi Tạo, Phân Tích Nghiệp Vụ &amp; Mô Hình Dữ Liệu]</t>
  </si>
  <si>
    <t>[Kiến Trúc &amp; Schema] Đăng ký tài khoản doanh nghiệp mới qua biểu mẫu chuẩn</t>
  </si>
  <si>
    <t>Phân tích yêu cầu nghiệp vụ, thiết kế bảng dữ liệu CSDL PostgreSQL, đặc tả API RESTful và luồng nghiệp vụ chi tiết cho: Validate MST, email, số điện thoại, kiểm tra trùng lặp pháp nhân trong CSDL</t>
  </si>
  <si>
    <t>/auth/register</t>
  </si>
  <si>
    <t>Khách Vãng Lai</t>
  </si>
  <si>
    <t>Cao</t>
  </si>
  <si>
    <t>Hoàn thành Dev</t>
  </si>
  <si>
    <t>Passed</t>
  </si>
  <si>
    <t>Đạt UAT</t>
  </si>
  <si>
    <t>NestJS DTO Validation</t>
  </si>
  <si>
    <t>WBS-CORE-0002</t>
  </si>
  <si>
    <t>[Kiến Trúc &amp; Schema] Đăng nhập tài khoản đa phương thức (Email, Mã hội viên, SĐT)</t>
  </si>
  <si>
    <t>Phân tích yêu cầu nghiệp vụ, thiết kế bảng dữ liệu CSDL PostgreSQL, đặc tả API RESTful và luồng nghiệp vụ chi tiết cho: Xác thực mật khẩu băm Argon2id/Bcrypt, cấp phát cặp JWT Token</t>
  </si>
  <si>
    <t>/auth/login</t>
  </si>
  <si>
    <t>Người Dùng</t>
  </si>
  <si>
    <t>Khẩn cấp</t>
  </si>
  <si>
    <t>JWT Access + Refresh Token</t>
  </si>
  <si>
    <t>WBS-CORE-0003</t>
  </si>
  <si>
    <t>[Kiến Trúc &amp; Schema] Đăng nhập sinh trắc học Passkey WebAuthn FIDO2 một chạm</t>
  </si>
  <si>
    <t>Phân tích yêu cầu nghiệp vụ, thiết kế bảng dữ liệu CSDL PostgreSQL, đặc tả API RESTful và luồng nghiệp vụ chi tiết cho: Đăng nhập một chạm qua vân tay/FaceID trên thiết bị hỗ trợ FIDO2</t>
  </si>
  <si>
    <t>/auth/passkey</t>
  </si>
  <si>
    <t>Hội Viên</t>
  </si>
  <si>
    <t>WebAuthn Standard</t>
  </si>
  <si>
    <t>WBS-CORE-0004</t>
  </si>
  <si>
    <t>[Kiến Trúc &amp; Schema] Đăng nhập 2 yếu tố TOTP (Google / Microsoft Authenticator)</t>
  </si>
  <si>
    <t>Phân tích yêu cầu nghiệp vụ, thiết kế bảng dữ liệu CSDL PostgreSQL, đặc tả API RESTful và luồng nghiệp vụ chi tiết cho: Bắt buộc nhập mã 6 số TOTP đối với tài khoản Ban Lãnh Đạo</t>
  </si>
  <si>
    <t>/auth/mfa-totp</t>
  </si>
  <si>
    <t>Ban Lãnh Đạo</t>
  </si>
  <si>
    <t>Otplib RFC 6238</t>
  </si>
  <si>
    <t>WBS-CORE-0005</t>
  </si>
  <si>
    <t>[Kiến Trúc &amp; Schema] Đăng xuất an toàn và vô hiệu hóa Token phiên làm việc</t>
  </si>
  <si>
    <t>Phân tích yêu cầu nghiệp vụ, thiết kế bảng dữ liệu CSDL PostgreSQL, đặc tả API RESTful và luồng nghiệp vụ chi tiết cho: Thu hồi Refresh Token trong Redis, xóa Cookie HttpOnly an toàn</t>
  </si>
  <si>
    <t>/auth/logout</t>
  </si>
  <si>
    <t>Redis Token Revocation</t>
  </si>
  <si>
    <t>WBS-CORE-0006</t>
  </si>
  <si>
    <t>[Kiến Trúc &amp; Schema] Quên mật khẩu &amp; Gửi link đặt lại mật khẩu qua Email</t>
  </si>
  <si>
    <t>Phân tích yêu cầu nghiệp vụ, thiết kế bảng dữ liệu CSDL PostgreSQL, đặc tả API RESTful và luồng nghiệp vụ chi tiết cho: Tạo token đặt lại có hạn 15 phút, gửi email chứa link một lần</t>
  </si>
  <si>
    <t>/auth/forgot-password</t>
  </si>
  <si>
    <t>Crypto Random Bytes Token</t>
  </si>
  <si>
    <t>WBS-CORE-0007</t>
  </si>
  <si>
    <t>[Kiến Trúc &amp; Schema] Đổi mật khẩu người dùng từ màn hình cài đặt tài khoản</t>
  </si>
  <si>
    <t>Phân tích yêu cầu nghiệp vụ, thiết kế bảng dữ liệu CSDL PostgreSQL, đặc tả API RESTful và luồng nghiệp vụ chi tiết cho: Yêu cầu nhập mật khẩu cũ, kiểm tra độ mạnh mật khẩu chuẩn OWASP</t>
  </si>
  <si>
    <t>/settings/change-password</t>
  </si>
  <si>
    <t>Trung bình</t>
  </si>
  <si>
    <t>Password Strength Meter</t>
  </si>
  <si>
    <t>WBS-CORE-0008</t>
  </si>
  <si>
    <t>[Kiến Trúc &amp; Schema] Cập nhật thông tin hồ sơ cá nhân và chức danh hiệp hội</t>
  </si>
  <si>
    <t>Phân tích yêu cầu nghiệp vụ, thiết kế bảng dữ liệu CSDL PostgreSQL, đặc tả API RESTful và luồng nghiệp vụ chi tiết cho: Cập nhật họ tên, chức vụ doanh nghiệp, tiểu sử, ngành nghề hoạt động</t>
  </si>
  <si>
    <t>/profile/edit</t>
  </si>
  <si>
    <t>Prisma Model Update</t>
  </si>
  <si>
    <t>WBS-CORE-0009</t>
  </si>
  <si>
    <t>[Kiến Trúc &amp; Schema] Tải lên ảnh đại diện Avatar và nén ảnh tự động phía Client</t>
  </si>
  <si>
    <t>Phân tích yêu cầu nghiệp vụ, thiết kế bảng dữ liệu CSDL PostgreSQL, đặc tả API RESTful và luồng nghiệp vụ chi tiết cho: Cắt ảnh tỷ lệ 1:1, nén dung lượng dưới 500KB trước khi upload</t>
  </si>
  <si>
    <t>/profile/avatar-upload</t>
  </si>
  <si>
    <t>Canvas Image Compression</t>
  </si>
  <si>
    <t>WBS-CORE-0010</t>
  </si>
  <si>
    <t>[Kiến Trúc &amp; Schema] Tải lên ảnh bìa Cover Banner hồ sơ doanh nhân sắc nét</t>
  </si>
  <si>
    <t>Phân tích yêu cầu nghiệp vụ, thiết kế bảng dữ liệu CSDL PostgreSQL, đặc tả API RESTful và luồng nghiệp vụ chi tiết cho: Hỗ trợ ảnh panorama tỷ lệ 16:9, lưu trữ MinIO/S3 CDN tốc độ cao</t>
  </si>
  <si>
    <t>/profile/banner-upload</t>
  </si>
  <si>
    <t>S3 Presigned URL Upload</t>
  </si>
  <si>
    <t>WBS-CORE-0011</t>
  </si>
  <si>
    <t>[Kiến Trúc &amp; Schema] Quản lý danh sách phiên đăng nhập và thiết bị đang kết nối</t>
  </si>
  <si>
    <t>Phân tích yêu cầu nghiệp vụ, thiết kế bảng dữ liệu CSDL PostgreSQL, đặc tả API RESTful và luồng nghiệp vụ chi tiết cho: Hiển thị IP, vị trí địa lý, trình duyệt, cho phép đăng xuất từ xa</t>
  </si>
  <si>
    <t>/settings/sessions</t>
  </si>
  <si>
    <t>User Agent &amp; IP Geolocation</t>
  </si>
  <si>
    <t>WBS-CORE-0012</t>
  </si>
  <si>
    <t>[Kiến Trúc &amp; Schema] Cơ chế Xóa Mềm (Soft Delete) bản ghi bảo toàn dữ liệu</t>
  </si>
  <si>
    <t>Phân tích yêu cầu nghiệp vụ, thiết kế bảng dữ liệu CSDL PostgreSQL, đặc tả API RESTful và luồng nghiệp vụ chi tiết cho: Gán cờ deleted_at = NOW(), ẩn bản ghi khỏi giao diện thông thường</t>
  </si>
  <si>
    <t>/api/crud/soft-delete</t>
  </si>
  <si>
    <t>Quản Trị Viên</t>
  </si>
  <si>
    <t>Prisma Soft Delete Middleware</t>
  </si>
  <si>
    <t>WBS-CORE-0013</t>
  </si>
  <si>
    <t>[Kiến Trúc &amp; Schema] Thùng rác hệ thống (Trash Bin) và lịch sử xóa</t>
  </si>
  <si>
    <t>Phân tích yêu cầu nghiệp vụ, thiết kế bảng dữ liệu CSDL PostgreSQL, đặc tả API RESTful và luồng nghiệp vụ chi tiết cho: Danh sách các mục đã xóa, hỗ trợ lọc theo người xóa và ngày xóa</t>
  </si>
  <si>
    <t>/admin/trash-bin</t>
  </si>
  <si>
    <t>Archival Storage Policy</t>
  </si>
  <si>
    <t>WBS-CORE-0014</t>
  </si>
  <si>
    <t>[Kiến Trúc &amp; Schema] Phục hồi dữ liệu từ thùng rác (Restore Soft-deleted)</t>
  </si>
  <si>
    <t>Phân tích yêu cầu nghiệp vụ, thiết kế bảng dữ liệu CSDL PostgreSQL, đặc tả API RESTful và luồng nghiệp vụ chi tiết cho: Khôi phục bản ghi về trạng thái hoạt động, cập nhật audit log</t>
  </si>
  <si>
    <t>/admin/trash-bin/restore</t>
  </si>
  <si>
    <t>Cascading Restore Logic</t>
  </si>
  <si>
    <t>WBS-CORE-0015</t>
  </si>
  <si>
    <t>[Kiến Trúc &amp; Schema] Xóa vĩnh viễn (Permanent Purge) đối với dữ liệu rác hết hạn</t>
  </si>
  <si>
    <t>Phân tích yêu cầu nghiệp vụ, thiết kế bảng dữ liệu CSDL PostgreSQL, đặc tả API RESTful và luồng nghiệp vụ chi tiết cho: Xóa hoàn toàn khỏi CSDL sau 90 ngày bảo lưu theo quy chế bảo mật</t>
  </si>
  <si>
    <t>/admin/trash-bin/purge</t>
  </si>
  <si>
    <t>Quản Trị Tối Cao</t>
  </si>
  <si>
    <t>Scheduled Cron Purge Job</t>
  </si>
  <si>
    <t>WBS-CORE-0016</t>
  </si>
  <si>
    <t>[Kiến Trúc &amp; Schema] Thao tác hàng loạt (Bulk Actions): Xóa, Cập nhật, Đổi trạng thái</t>
  </si>
  <si>
    <t>Phân tích yêu cầu nghiệp vụ, thiết kế bảng dữ liệu CSDL PostgreSQL, đặc tả API RESTful và luồng nghiệp vụ chi tiết cho: Chọn nhiều dòng dữ liệu, áp dụng thay đổi trong 1 Database Transaction</t>
  </si>
  <si>
    <t>/admin/bulk-actions</t>
  </si>
  <si>
    <t>Prisma $transaction Batch</t>
  </si>
  <si>
    <t>WBS-CORE-0017</t>
  </si>
  <si>
    <t>[Kiến Trúc &amp; Schema] Nhật ký kiểm toán an ninh (Security Audit Trail) bất biến</t>
  </si>
  <si>
    <t>Phân tích yêu cầu nghiệp vụ, thiết kế bảng dữ liệu CSDL PostgreSQL, đặc tả API RESTful và luồng nghiệp vụ chi tiết cho: Ghi vết 100% thay đổi dữ liệu, đăng nhập thất bại, xuất file danh bạ</t>
  </si>
  <si>
    <t>/admin/audit-trail</t>
  </si>
  <si>
    <t>Ban Kiểm Tra</t>
  </si>
  <si>
    <t>Append-only Audit Table</t>
  </si>
  <si>
    <t>WBS-CORE-0018</t>
  </si>
  <si>
    <t>[Kiến Trúc &amp; Schema] Ma trận phân quyền chi tiết 8 cấp bậc Granular RBAC</t>
  </si>
  <si>
    <t>Phân tích yêu cầu nghiệp vụ, thiết kế bảng dữ liệu CSDL PostgreSQL, đặc tả API RESTful và luồng nghiệp vụ chi tiết cho: Phân quyền View, Create, Edit, Delete, Approve, Export cho từng trang</t>
  </si>
  <si>
    <t>/admin/permissions</t>
  </si>
  <si>
    <t>NestJS RBAC Guards &amp; Decorator</t>
  </si>
  <si>
    <t>WBS-CORE-0019</t>
  </si>
  <si>
    <t>[Kiến Trúc &amp; Schema] Cô lập dữ liệu Multi-Tenant an toàn bằng Row-Level Security</t>
  </si>
  <si>
    <t>Phân tích yêu cầu nghiệp vụ, thiết kế bảng dữ liệu CSDL PostgreSQL, đặc tả API RESTful và luồng nghiệp vụ chi tiết cho: Ngăn chặn rò rỉ dữ liệu giữa các Hiệp hội độc lập trên cùng DB</t>
  </si>
  <si>
    <t>/api/tenant/guard</t>
  </si>
  <si>
    <t>Hệ Thống Tự Động</t>
  </si>
  <si>
    <t>PostgreSQL RLS Policies</t>
  </si>
  <si>
    <t>WBS-CORE-0020</t>
  </si>
  <si>
    <t>[Kiến Trúc &amp; Schema] Chặn brute-force và khóa tài khoản tạm thời sau 5 lần sai pass</t>
  </si>
  <si>
    <t>Phân tích yêu cầu nghiệp vụ, thiết kế bảng dữ liệu CSDL PostgreSQL, đặc tả API RESTful và luồng nghiệp vụ chi tiết cho: Lưu số lần thử sai trong Redis với thời gian hết hạn TTL 15 phút</t>
  </si>
  <si>
    <t>/api/auth/rate-limit</t>
  </si>
  <si>
    <t>Redis Sliding Window Limiter</t>
  </si>
  <si>
    <t>WBS-CORE-0021</t>
  </si>
  <si>
    <t>Tài Khoản &amp; Quản Trị Hệ Thống [Giai đoạn: Xây Dựng Giao Diện Người Dùng Frontend (Desktop &amp; Mobile)]</t>
  </si>
  <si>
    <t>[Giao Diện Frontend] Đăng ký tài khoản doanh nghiệp mới qua biểu mẫu chuẩn</t>
  </si>
  <si>
    <t>Phát triển giao diện React/Tailwind, tối ưu hóa responsive di động, xử lý trạng thái loading/error/empty state: Validate MST, email, số điện thoại, kiểm tra trùng lặp pháp nhân trong CSDL</t>
  </si>
  <si>
    <t>WBS-CORE-0022</t>
  </si>
  <si>
    <t>[Giao Diện Frontend] Đăng nhập tài khoản đa phương thức (Email, Mã hội viên, SĐT)</t>
  </si>
  <si>
    <t>Phát triển giao diện React/Tailwind, tối ưu hóa responsive di động, xử lý trạng thái loading/error/empty state: Xác thực mật khẩu băm Argon2id/Bcrypt, cấp phát cặp JWT Token</t>
  </si>
  <si>
    <t>WBS-CORE-0023</t>
  </si>
  <si>
    <t>[Giao Diện Frontend] Đăng nhập sinh trắc học Passkey WebAuthn FIDO2 một chạm</t>
  </si>
  <si>
    <t>Phát triển giao diện React/Tailwind, tối ưu hóa responsive di động, xử lý trạng thái loading/error/empty state: Đăng nhập một chạm qua vân tay/FaceID trên thiết bị hỗ trợ FIDO2</t>
  </si>
  <si>
    <t>WBS-CORE-0024</t>
  </si>
  <si>
    <t>[Giao Diện Frontend] Đăng nhập 2 yếu tố TOTP (Google / Microsoft Authenticator)</t>
  </si>
  <si>
    <t>Phát triển giao diện React/Tailwind, tối ưu hóa responsive di động, xử lý trạng thái loading/error/empty state: Bắt buộc nhập mã 6 số TOTP đối với tài khoản Ban Lãnh Đạo</t>
  </si>
  <si>
    <t>WBS-CORE-0025</t>
  </si>
  <si>
    <t>[Giao Diện Frontend] Đăng xuất an toàn và vô hiệu hóa Token phiên làm việc</t>
  </si>
  <si>
    <t>Phát triển giao diện React/Tailwind, tối ưu hóa responsive di động, xử lý trạng thái loading/error/empty state: Thu hồi Refresh Token trong Redis, xóa Cookie HttpOnly an toàn</t>
  </si>
  <si>
    <t>WBS-CORE-0026</t>
  </si>
  <si>
    <t>[Giao Diện Frontend] Quên mật khẩu &amp; Gửi link đặt lại mật khẩu qua Email</t>
  </si>
  <si>
    <t>Phát triển giao diện React/Tailwind, tối ưu hóa responsive di động, xử lý trạng thái loading/error/empty state: Tạo token đặt lại có hạn 15 phút, gửi email chứa link một lần</t>
  </si>
  <si>
    <t>WBS-CORE-0027</t>
  </si>
  <si>
    <t>[Giao Diện Frontend] Đổi mật khẩu người dùng từ màn hình cài đặt tài khoản</t>
  </si>
  <si>
    <t>Phát triển giao diện React/Tailwind, tối ưu hóa responsive di động, xử lý trạng thái loading/error/empty state: Yêu cầu nhập mật khẩu cũ, kiểm tra độ mạnh mật khẩu chuẩn OWASP</t>
  </si>
  <si>
    <t>WBS-CORE-0028</t>
  </si>
  <si>
    <t>[Giao Diện Frontend] Cập nhật thông tin hồ sơ cá nhân và chức danh hiệp hội</t>
  </si>
  <si>
    <t>Phát triển giao diện React/Tailwind, tối ưu hóa responsive di động, xử lý trạng thái loading/error/empty state: Cập nhật họ tên, chức vụ doanh nghiệp, tiểu sử, ngành nghề hoạt động</t>
  </si>
  <si>
    <t>WBS-CORE-0029</t>
  </si>
  <si>
    <t>[Giao Diện Frontend] Tải lên ảnh đại diện Avatar và nén ảnh tự động phía Client</t>
  </si>
  <si>
    <t>Phát triển giao diện React/Tailwind, tối ưu hóa responsive di động, xử lý trạng thái loading/error/empty state: Cắt ảnh tỷ lệ 1:1, nén dung lượng dưới 500KB trước khi upload</t>
  </si>
  <si>
    <t>WBS-CORE-0030</t>
  </si>
  <si>
    <t>[Giao Diện Frontend] Tải lên ảnh bìa Cover Banner hồ sơ doanh nhân sắc nét</t>
  </si>
  <si>
    <t>Phát triển giao diện React/Tailwind, tối ưu hóa responsive di động, xử lý trạng thái loading/error/empty state: Hỗ trợ ảnh panorama tỷ lệ 16:9, lưu trữ MinIO/S3 CDN tốc độ cao</t>
  </si>
  <si>
    <t>WBS-CORE-0031</t>
  </si>
  <si>
    <t>[Giao Diện Frontend] Quản lý danh sách phiên đăng nhập và thiết bị đang kết nối</t>
  </si>
  <si>
    <t>Phát triển giao diện React/Tailwind, tối ưu hóa responsive di động, xử lý trạng thái loading/error/empty state: Hiển thị IP, vị trí địa lý, trình duyệt, cho phép đăng xuất từ xa</t>
  </si>
  <si>
    <t>WBS-CORE-0032</t>
  </si>
  <si>
    <t>[Giao Diện Frontend] Cơ chế Xóa Mềm (Soft Delete) bản ghi bảo toàn dữ liệu</t>
  </si>
  <si>
    <t>Phát triển giao diện React/Tailwind, tối ưu hóa responsive di động, xử lý trạng thái loading/error/empty state: Gán cờ deleted_at = NOW(), ẩn bản ghi khỏi giao diện thông thường</t>
  </si>
  <si>
    <t>WBS-CORE-0033</t>
  </si>
  <si>
    <t>[Giao Diện Frontend] Thùng rác hệ thống (Trash Bin) và lịch sử xóa</t>
  </si>
  <si>
    <t>Phát triển giao diện React/Tailwind, tối ưu hóa responsive di động, xử lý trạng thái loading/error/empty state: Danh sách các mục đã xóa, hỗ trợ lọc theo người xóa và ngày xóa</t>
  </si>
  <si>
    <t>WBS-CORE-0034</t>
  </si>
  <si>
    <t>[Giao Diện Frontend] Phục hồi dữ liệu từ thùng rác (Restore Soft-deleted)</t>
  </si>
  <si>
    <t>Phát triển giao diện React/Tailwind, tối ưu hóa responsive di động, xử lý trạng thái loading/error/empty state: Khôi phục bản ghi về trạng thái hoạt động, cập nhật audit log</t>
  </si>
  <si>
    <t>WBS-CORE-0035</t>
  </si>
  <si>
    <t>[Giao Diện Frontend] Xóa vĩnh viễn (Permanent Purge) đối với dữ liệu rác hết hạn</t>
  </si>
  <si>
    <t>Phát triển giao diện React/Tailwind, tối ưu hóa responsive di động, xử lý trạng thái loading/error/empty state: Xóa hoàn toàn khỏi CSDL sau 90 ngày bảo lưu theo quy chế bảo mật</t>
  </si>
  <si>
    <t>WBS-CORE-0036</t>
  </si>
  <si>
    <t>[Giao Diện Frontend] Thao tác hàng loạt (Bulk Actions): Xóa, Cập nhật, Đổi trạng thái</t>
  </si>
  <si>
    <t>Phát triển giao diện React/Tailwind, tối ưu hóa responsive di động, xử lý trạng thái loading/error/empty state: Chọn nhiều dòng dữ liệu, áp dụng thay đổi trong 1 Database Transaction</t>
  </si>
  <si>
    <t>WBS-CORE-0037</t>
  </si>
  <si>
    <t>[Giao Diện Frontend] Nhật ký kiểm toán an ninh (Security Audit Trail) bất biến</t>
  </si>
  <si>
    <t>Phát triển giao diện React/Tailwind, tối ưu hóa responsive di động, xử lý trạng thái loading/error/empty state: Ghi vết 100% thay đổi dữ liệu, đăng nhập thất bại, xuất file danh bạ</t>
  </si>
  <si>
    <t>WBS-CORE-0038</t>
  </si>
  <si>
    <t>[Giao Diện Frontend] Ma trận phân quyền chi tiết 8 cấp bậc Granular RBAC</t>
  </si>
  <si>
    <t>Phát triển giao diện React/Tailwind, tối ưu hóa responsive di động, xử lý trạng thái loading/error/empty state: Phân quyền View, Create, Edit, Delete, Approve, Export cho từng trang</t>
  </si>
  <si>
    <t>WBS-CORE-0039</t>
  </si>
  <si>
    <t>[Giao Diện Frontend] Cô lập dữ liệu Multi-Tenant an toàn bằng Row-Level Security</t>
  </si>
  <si>
    <t>Phát triển giao diện React/Tailwind, tối ưu hóa responsive di động, xử lý trạng thái loading/error/empty state: Ngăn chặn rò rỉ dữ liệu giữa các Hiệp hội độc lập trên cùng DB</t>
  </si>
  <si>
    <t>WBS-CORE-0040</t>
  </si>
  <si>
    <t>[Giao Diện Frontend] Chặn brute-force và khóa tài khoản tạm thời sau 5 lần sai pass</t>
  </si>
  <si>
    <t>Phát triển giao diện React/Tailwind, tối ưu hóa responsive di động, xử lý trạng thái loading/error/empty state: Lưu số lần thử sai trong Redis với thời gian hết hạn TTL 15 phút</t>
  </si>
  <si>
    <t>WBS-CORE-0041</t>
  </si>
  <si>
    <t>Tài Khoản &amp; Quản Trị Hệ Thống [Giai đoạn: Xử Lý Logic Nghiệp Vụ Backend API &amp; Cơ Sở Dữ Liệu CSDL]</t>
  </si>
  <si>
    <t>[Logic Backend CSDL] Đăng ký tài khoản doanh nghiệp mới qua biểu mẫu chuẩn</t>
  </si>
  <si>
    <t>Xây dựng NestJS Controller, Service, Prisma ORM, kiểm tra ràng buộc dữ liệu DTO và xử lý Transaction ACID: Validate MST, email, số điện thoại, kiểm tra trùng lặp pháp nhân trong CSDL</t>
  </si>
  <si>
    <t>WBS-CORE-0042</t>
  </si>
  <si>
    <t>[Logic Backend CSDL] Đăng nhập tài khoản đa phương thức (Email, Mã hội viên, SĐT)</t>
  </si>
  <si>
    <t>Xây dựng NestJS Controller, Service, Prisma ORM, kiểm tra ràng buộc dữ liệu DTO và xử lý Transaction ACID: Xác thực mật khẩu băm Argon2id/Bcrypt, cấp phát cặp JWT Token</t>
  </si>
  <si>
    <t>WBS-CORE-0043</t>
  </si>
  <si>
    <t>[Logic Backend CSDL] Đăng nhập sinh trắc học Passkey WebAuthn FIDO2 một chạm</t>
  </si>
  <si>
    <t>Xây dựng NestJS Controller, Service, Prisma ORM, kiểm tra ràng buộc dữ liệu DTO và xử lý Transaction ACID: Đăng nhập một chạm qua vân tay/FaceID trên thiết bị hỗ trợ FIDO2</t>
  </si>
  <si>
    <t>WBS-CORE-0044</t>
  </si>
  <si>
    <t>[Logic Backend CSDL] Đăng nhập 2 yếu tố TOTP (Google / Microsoft Authenticator)</t>
  </si>
  <si>
    <t>Xây dựng NestJS Controller, Service, Prisma ORM, kiểm tra ràng buộc dữ liệu DTO và xử lý Transaction ACID: Bắt buộc nhập mã 6 số TOTP đối với tài khoản Ban Lãnh Đạo</t>
  </si>
  <si>
    <t>WBS-CORE-0045</t>
  </si>
  <si>
    <t>[Logic Backend CSDL] Đăng xuất an toàn và vô hiệu hóa Token phiên làm việc</t>
  </si>
  <si>
    <t>Xây dựng NestJS Controller, Service, Prisma ORM, kiểm tra ràng buộc dữ liệu DTO và xử lý Transaction ACID: Thu hồi Refresh Token trong Redis, xóa Cookie HttpOnly an toàn</t>
  </si>
  <si>
    <t>WBS-CORE-0046</t>
  </si>
  <si>
    <t>[Logic Backend CSDL] Quên mật khẩu &amp; Gửi link đặt lại mật khẩu qua Email</t>
  </si>
  <si>
    <t>Xây dựng NestJS Controller, Service, Prisma ORM, kiểm tra ràng buộc dữ liệu DTO và xử lý Transaction ACID: Tạo token đặt lại có hạn 15 phút, gửi email chứa link một lần</t>
  </si>
  <si>
    <t>WBS-CORE-0047</t>
  </si>
  <si>
    <t>[Logic Backend CSDL] Đổi mật khẩu người dùng từ màn hình cài đặt tài khoản</t>
  </si>
  <si>
    <t>Xây dựng NestJS Controller, Service, Prisma ORM, kiểm tra ràng buộc dữ liệu DTO và xử lý Transaction ACID: Yêu cầu nhập mật khẩu cũ, kiểm tra độ mạnh mật khẩu chuẩn OWASP</t>
  </si>
  <si>
    <t>WBS-CORE-0048</t>
  </si>
  <si>
    <t>[Logic Backend CSDL] Cập nhật thông tin hồ sơ cá nhân và chức danh hiệp hội</t>
  </si>
  <si>
    <t>Xây dựng NestJS Controller, Service, Prisma ORM, kiểm tra ràng buộc dữ liệu DTO và xử lý Transaction ACID: Cập nhật họ tên, chức vụ doanh nghiệp, tiểu sử, ngành nghề hoạt động</t>
  </si>
  <si>
    <t>WBS-CORE-0049</t>
  </si>
  <si>
    <t>[Logic Backend CSDL] Tải lên ảnh đại diện Avatar và nén ảnh tự động phía Client</t>
  </si>
  <si>
    <t>Xây dựng NestJS Controller, Service, Prisma ORM, kiểm tra ràng buộc dữ liệu DTO và xử lý Transaction ACID: Cắt ảnh tỷ lệ 1:1, nén dung lượng dưới 500KB trước khi upload</t>
  </si>
  <si>
    <t>WBS-CORE-0050</t>
  </si>
  <si>
    <t>[Logic Backend CSDL] Tải lên ảnh bìa Cover Banner hồ sơ doanh nhân sắc nét</t>
  </si>
  <si>
    <t>Xây dựng NestJS Controller, Service, Prisma ORM, kiểm tra ràng buộc dữ liệu DTO và xử lý Transaction ACID: Hỗ trợ ảnh panorama tỷ lệ 16:9, lưu trữ MinIO/S3 CDN tốc độ cao</t>
  </si>
  <si>
    <t>WBS-CORE-0051</t>
  </si>
  <si>
    <t>[Logic Backend CSDL] Quản lý danh sách phiên đăng nhập và thiết bị đang kết nối</t>
  </si>
  <si>
    <t>Xây dựng NestJS Controller, Service, Prisma ORM, kiểm tra ràng buộc dữ liệu DTO và xử lý Transaction ACID: Hiển thị IP, vị trí địa lý, trình duyệt, cho phép đăng xuất từ xa</t>
  </si>
  <si>
    <t>WBS-CORE-0052</t>
  </si>
  <si>
    <t>[Logic Backend CSDL] Cơ chế Xóa Mềm (Soft Delete) bản ghi bảo toàn dữ liệu</t>
  </si>
  <si>
    <t>Xây dựng NestJS Controller, Service, Prisma ORM, kiểm tra ràng buộc dữ liệu DTO và xử lý Transaction ACID: Gán cờ deleted_at = NOW(), ẩn bản ghi khỏi giao diện thông thường</t>
  </si>
  <si>
    <t>WBS-CORE-0053</t>
  </si>
  <si>
    <t>[Logic Backend CSDL] Thùng rác hệ thống (Trash Bin) và lịch sử xóa</t>
  </si>
  <si>
    <t>Xây dựng NestJS Controller, Service, Prisma ORM, kiểm tra ràng buộc dữ liệu DTO và xử lý Transaction ACID: Danh sách các mục đã xóa, hỗ trợ lọc theo người xóa và ngày xóa</t>
  </si>
  <si>
    <t>WBS-CORE-0054</t>
  </si>
  <si>
    <t>[Logic Backend CSDL] Phục hồi dữ liệu từ thùng rác (Restore Soft-deleted)</t>
  </si>
  <si>
    <t>Xây dựng NestJS Controller, Service, Prisma ORM, kiểm tra ràng buộc dữ liệu DTO và xử lý Transaction ACID: Khôi phục bản ghi về trạng thái hoạt động, cập nhật audit log</t>
  </si>
  <si>
    <t>WBS-CORE-0055</t>
  </si>
  <si>
    <t>[Logic Backend CSDL] Xóa vĩnh viễn (Permanent Purge) đối với dữ liệu rác hết hạn</t>
  </si>
  <si>
    <t>Xây dựng NestJS Controller, Service, Prisma ORM, kiểm tra ràng buộc dữ liệu DTO và xử lý Transaction ACID: Xóa hoàn toàn khỏi CSDL sau 90 ngày bảo lưu theo quy chế bảo mật</t>
  </si>
  <si>
    <t>WBS-CORE-0056</t>
  </si>
  <si>
    <t>[Logic Backend CSDL] Thao tác hàng loạt (Bulk Actions): Xóa, Cập nhật, Đổi trạng thái</t>
  </si>
  <si>
    <t>Xây dựng NestJS Controller, Service, Prisma ORM, kiểm tra ràng buộc dữ liệu DTO và xử lý Transaction ACID: Chọn nhiều dòng dữ liệu, áp dụng thay đổi trong 1 Database Transaction</t>
  </si>
  <si>
    <t>WBS-CORE-0057</t>
  </si>
  <si>
    <t>[Logic Backend CSDL] Nhật ký kiểm toán an ninh (Security Audit Trail) bất biến</t>
  </si>
  <si>
    <t>Xây dựng NestJS Controller, Service, Prisma ORM, kiểm tra ràng buộc dữ liệu DTO và xử lý Transaction ACID: Ghi vết 100% thay đổi dữ liệu, đăng nhập thất bại, xuất file danh bạ</t>
  </si>
  <si>
    <t>WBS-CORE-0058</t>
  </si>
  <si>
    <t>[Logic Backend CSDL] Ma trận phân quyền chi tiết 8 cấp bậc Granular RBAC</t>
  </si>
  <si>
    <t>Xây dựng NestJS Controller, Service, Prisma ORM, kiểm tra ràng buộc dữ liệu DTO và xử lý Transaction ACID: Phân quyền View, Create, Edit, Delete, Approve, Export cho từng trang</t>
  </si>
  <si>
    <t>WBS-CORE-0059</t>
  </si>
  <si>
    <t>[Logic Backend CSDL] Cô lập dữ liệu Multi-Tenant an toàn bằng Row-Level Security</t>
  </si>
  <si>
    <t>Xây dựng NestJS Controller, Service, Prisma ORM, kiểm tra ràng buộc dữ liệu DTO và xử lý Transaction ACID: Ngăn chặn rò rỉ dữ liệu giữa các Hiệp hội độc lập trên cùng DB</t>
  </si>
  <si>
    <t>WBS-CORE-0060</t>
  </si>
  <si>
    <t>[Logic Backend CSDL] Chặn brute-force và khóa tài khoản tạm thời sau 5 lần sai pass</t>
  </si>
  <si>
    <t>Xây dựng NestJS Controller, Service, Prisma ORM, kiểm tra ràng buộc dữ liệu DTO và xử lý Transaction ACID: Lưu số lần thử sai trong Redis với thời gian hết hạn TTL 15 phút</t>
  </si>
  <si>
    <t>WBS-CORE-0061</t>
  </si>
  <si>
    <t>Tài Khoản &amp; Quản Trị Hệ Thống [Giai đoạn: Tích Hợp Realtime, Hàng Đợi Worker &amp; Bảo Mật Granular RBAC]</t>
  </si>
  <si>
    <t>[Tích Hợp &amp; Bảo Mật] Đăng ký tài khoản doanh nghiệp mới qua biểu mẫu chuẩn</t>
  </si>
  <si>
    <t>Tích hợp phân quyền Granular RBAC, bảo vệ chống XSS/SQLi, caching Redis và cơ chế realtime/worker: Validate MST, email, số điện thoại, kiểm tra trùng lặp pháp nhân trong CSDL</t>
  </si>
  <si>
    <t>WBS-CORE-0062</t>
  </si>
  <si>
    <t>[Tích Hợp &amp; Bảo Mật] Đăng nhập tài khoản đa phương thức (Email, Mã hội viên, SĐT)</t>
  </si>
  <si>
    <t>Tích hợp phân quyền Granular RBAC, bảo vệ chống XSS/SQLi, caching Redis và cơ chế realtime/worker: Xác thực mật khẩu băm Argon2id/Bcrypt, cấp phát cặp JWT Token</t>
  </si>
  <si>
    <t>WBS-CORE-0063</t>
  </si>
  <si>
    <t>[Tích Hợp &amp; Bảo Mật] Đăng nhập sinh trắc học Passkey WebAuthn FIDO2 một chạm</t>
  </si>
  <si>
    <t>Tích hợp phân quyền Granular RBAC, bảo vệ chống XSS/SQLi, caching Redis và cơ chế realtime/worker: Đăng nhập một chạm qua vân tay/FaceID trên thiết bị hỗ trợ FIDO2</t>
  </si>
  <si>
    <t>WBS-CORE-0064</t>
  </si>
  <si>
    <t>[Tích Hợp &amp; Bảo Mật] Đăng nhập 2 yếu tố TOTP (Google / Microsoft Authenticator)</t>
  </si>
  <si>
    <t>Tích hợp phân quyền Granular RBAC, bảo vệ chống XSS/SQLi, caching Redis và cơ chế realtime/worker: Bắt buộc nhập mã 6 số TOTP đối với tài khoản Ban Lãnh Đạo</t>
  </si>
  <si>
    <t>WBS-CORE-0065</t>
  </si>
  <si>
    <t>[Tích Hợp &amp; Bảo Mật] Đăng xuất an toàn và vô hiệu hóa Token phiên làm việc</t>
  </si>
  <si>
    <t>Tích hợp phân quyền Granular RBAC, bảo vệ chống XSS/SQLi, caching Redis và cơ chế realtime/worker: Thu hồi Refresh Token trong Redis, xóa Cookie HttpOnly an toàn</t>
  </si>
  <si>
    <t>WBS-CORE-0066</t>
  </si>
  <si>
    <t>[Tích Hợp &amp; Bảo Mật] Quên mật khẩu &amp; Gửi link đặt lại mật khẩu qua Email</t>
  </si>
  <si>
    <t>Tích hợp phân quyền Granular RBAC, bảo vệ chống XSS/SQLi, caching Redis và cơ chế realtime/worker: Tạo token đặt lại có hạn 15 phút, gửi email chứa link một lần</t>
  </si>
  <si>
    <t>WBS-CORE-0067</t>
  </si>
  <si>
    <t>[Tích Hợp &amp; Bảo Mật] Đổi mật khẩu người dùng từ màn hình cài đặt tài khoản</t>
  </si>
  <si>
    <t>Tích hợp phân quyền Granular RBAC, bảo vệ chống XSS/SQLi, caching Redis và cơ chế realtime/worker: Yêu cầu nhập mật khẩu cũ, kiểm tra độ mạnh mật khẩu chuẩn OWASP</t>
  </si>
  <si>
    <t>WBS-CORE-0068</t>
  </si>
  <si>
    <t>[Tích Hợp &amp; Bảo Mật] Cập nhật thông tin hồ sơ cá nhân và chức danh hiệp hội</t>
  </si>
  <si>
    <t>Tích hợp phân quyền Granular RBAC, bảo vệ chống XSS/SQLi, caching Redis và cơ chế realtime/worker: Cập nhật họ tên, chức vụ doanh nghiệp, tiểu sử, ngành nghề hoạt động</t>
  </si>
  <si>
    <t>WBS-CORE-0069</t>
  </si>
  <si>
    <t>[Tích Hợp &amp; Bảo Mật] Tải lên ảnh đại diện Avatar và nén ảnh tự động phía Client</t>
  </si>
  <si>
    <t>Tích hợp phân quyền Granular RBAC, bảo vệ chống XSS/SQLi, caching Redis và cơ chế realtime/worker: Cắt ảnh tỷ lệ 1:1, nén dung lượng dưới 500KB trước khi upload</t>
  </si>
  <si>
    <t>WBS-CORE-0070</t>
  </si>
  <si>
    <t>[Tích Hợp &amp; Bảo Mật] Tải lên ảnh bìa Cover Banner hồ sơ doanh nhân sắc nét</t>
  </si>
  <si>
    <t>Tích hợp phân quyền Granular RBAC, bảo vệ chống XSS/SQLi, caching Redis và cơ chế realtime/worker: Hỗ trợ ảnh panorama tỷ lệ 16:9, lưu trữ MinIO/S3 CDN tốc độ cao</t>
  </si>
  <si>
    <t>WBS-CORE-0071</t>
  </si>
  <si>
    <t>[Tích Hợp &amp; Bảo Mật] Quản lý danh sách phiên đăng nhập và thiết bị đang kết nối</t>
  </si>
  <si>
    <t>Tích hợp phân quyền Granular RBAC, bảo vệ chống XSS/SQLi, caching Redis và cơ chế realtime/worker: Hiển thị IP, vị trí địa lý, trình duyệt, cho phép đăng xuất từ xa</t>
  </si>
  <si>
    <t>WBS-CORE-0072</t>
  </si>
  <si>
    <t>[Tích Hợp &amp; Bảo Mật] Cơ chế Xóa Mềm (Soft Delete) bản ghi bảo toàn dữ liệu</t>
  </si>
  <si>
    <t>Tích hợp phân quyền Granular RBAC, bảo vệ chống XSS/SQLi, caching Redis và cơ chế realtime/worker: Gán cờ deleted_at = NOW(), ẩn bản ghi khỏi giao diện thông thường</t>
  </si>
  <si>
    <t>WBS-CORE-0073</t>
  </si>
  <si>
    <t>[Tích Hợp &amp; Bảo Mật] Thùng rác hệ thống (Trash Bin) và lịch sử xóa</t>
  </si>
  <si>
    <t>Tích hợp phân quyền Granular RBAC, bảo vệ chống XSS/SQLi, caching Redis và cơ chế realtime/worker: Danh sách các mục đã xóa, hỗ trợ lọc theo người xóa và ngày xóa</t>
  </si>
  <si>
    <t>WBS-CORE-0074</t>
  </si>
  <si>
    <t>[Tích Hợp &amp; Bảo Mật] Phục hồi dữ liệu từ thùng rác (Restore Soft-deleted)</t>
  </si>
  <si>
    <t>Tích hợp phân quyền Granular RBAC, bảo vệ chống XSS/SQLi, caching Redis và cơ chế realtime/worker: Khôi phục bản ghi về trạng thái hoạt động, cập nhật audit log</t>
  </si>
  <si>
    <t>WBS-CORE-0075</t>
  </si>
  <si>
    <t>[Tích Hợp &amp; Bảo Mật] Xóa vĩnh viễn (Permanent Purge) đối với dữ liệu rác hết hạn</t>
  </si>
  <si>
    <t>Tích hợp phân quyền Granular RBAC, bảo vệ chống XSS/SQLi, caching Redis và cơ chế realtime/worker: Xóa hoàn toàn khỏi CSDL sau 90 ngày bảo lưu theo quy chế bảo mật</t>
  </si>
  <si>
    <t>WBS-CORE-0076</t>
  </si>
  <si>
    <t>[Tích Hợp &amp; Bảo Mật] Thao tác hàng loạt (Bulk Actions): Xóa, Cập nhật, Đổi trạng thái</t>
  </si>
  <si>
    <t>Tích hợp phân quyền Granular RBAC, bảo vệ chống XSS/SQLi, caching Redis và cơ chế realtime/worker: Chọn nhiều dòng dữ liệu, áp dụng thay đổi trong 1 Database Transaction</t>
  </si>
  <si>
    <t>WBS-CORE-0077</t>
  </si>
  <si>
    <t>[Tích Hợp &amp; Bảo Mật] Nhật ký kiểm toán an ninh (Security Audit Trail) bất biến</t>
  </si>
  <si>
    <t>Tích hợp phân quyền Granular RBAC, bảo vệ chống XSS/SQLi, caching Redis và cơ chế realtime/worker: Ghi vết 100% thay đổi dữ liệu, đăng nhập thất bại, xuất file danh bạ</t>
  </si>
  <si>
    <t>WBS-CORE-0078</t>
  </si>
  <si>
    <t>[Tích Hợp &amp; Bảo Mật] Ma trận phân quyền chi tiết 8 cấp bậc Granular RBAC</t>
  </si>
  <si>
    <t>Tích hợp phân quyền Granular RBAC, bảo vệ chống XSS/SQLi, caching Redis và cơ chế realtime/worker: Phân quyền View, Create, Edit, Delete, Approve, Export cho từng trang</t>
  </si>
  <si>
    <t>WBS-CORE-0079</t>
  </si>
  <si>
    <t>[Tích Hợp &amp; Bảo Mật] Cô lập dữ liệu Multi-Tenant an toàn bằng Row-Level Security</t>
  </si>
  <si>
    <t>Tích hợp phân quyền Granular RBAC, bảo vệ chống XSS/SQLi, caching Redis và cơ chế realtime/worker: Ngăn chặn rò rỉ dữ liệu giữa các Hiệp hội độc lập trên cùng DB</t>
  </si>
  <si>
    <t>WBS-CORE-0080</t>
  </si>
  <si>
    <t>[Tích Hợp &amp; Bảo Mật] Chặn brute-force và khóa tài khoản tạm thời sau 5 lần sai pass</t>
  </si>
  <si>
    <t>Tích hợp phân quyền Granular RBAC, bảo vệ chống XSS/SQLi, caching Redis và cơ chế realtime/worker: Lưu số lần thử sai trong Redis với thời gian hết hạn TTL 15 phút</t>
  </si>
  <si>
    <t>WBS-CORE-0081</t>
  </si>
  <si>
    <t>Tài Khoản &amp; Quản Trị Hệ Thống [Giai đoạn: Kiểm Thử Tự Động Toàn Diện E2E, Hiệu Năng &amp; Nghiệm Thu UAT]</t>
  </si>
  <si>
    <t>[Kiểm Thử E2E &amp; UAT] Đăng ký tài khoản doanh nghiệp mới qua biểu mẫu chuẩn</t>
  </si>
  <si>
    <t>Kiểm thử hộp đen/hộp trắng toàn diện, kiểm tra tải đồng thời, đối soát dữ liệu và nghiệm thu Ban Lãnh Đạo: Validate MST, email, số điện thoại, kiểm tra trùng lặp pháp nhân trong CSDL</t>
  </si>
  <si>
    <t>WBS-CORE-0082</t>
  </si>
  <si>
    <t>[Kiểm Thử E2E &amp; UAT] Đăng nhập tài khoản đa phương thức (Email, Mã hội viên, SĐT)</t>
  </si>
  <si>
    <t>Kiểm thử hộp đen/hộp trắng toàn diện, kiểm tra tải đồng thời, đối soát dữ liệu và nghiệm thu Ban Lãnh Đạo: Xác thực mật khẩu băm Argon2id/Bcrypt, cấp phát cặp JWT Token</t>
  </si>
  <si>
    <t>WBS-CORE-0083</t>
  </si>
  <si>
    <t>[Kiểm Thử E2E &amp; UAT] Đăng nhập sinh trắc học Passkey WebAuthn FIDO2 một chạm</t>
  </si>
  <si>
    <t>Kiểm thử hộp đen/hộp trắng toàn diện, kiểm tra tải đồng thời, đối soát dữ liệu và nghiệm thu Ban Lãnh Đạo: Đăng nhập một chạm qua vân tay/FaceID trên thiết bị hỗ trợ FIDO2</t>
  </si>
  <si>
    <t>WBS-CORE-0084</t>
  </si>
  <si>
    <t>[Kiểm Thử E2E &amp; UAT] Đăng nhập 2 yếu tố TOTP (Google / Microsoft Authenticator)</t>
  </si>
  <si>
    <t>Kiểm thử hộp đen/hộp trắng toàn diện, kiểm tra tải đồng thời, đối soát dữ liệu và nghiệm thu Ban Lãnh Đạo: Bắt buộc nhập mã 6 số TOTP đối với tài khoản Ban Lãnh Đạo</t>
  </si>
  <si>
    <t>WBS-CORE-0085</t>
  </si>
  <si>
    <t>[Kiểm Thử E2E &amp; UAT] Đăng xuất an toàn và vô hiệu hóa Token phiên làm việc</t>
  </si>
  <si>
    <t>Kiểm thử hộp đen/hộp trắng toàn diện, kiểm tra tải đồng thời, đối soát dữ liệu và nghiệm thu Ban Lãnh Đạo: Thu hồi Refresh Token trong Redis, xóa Cookie HttpOnly an toàn</t>
  </si>
  <si>
    <t>WBS-CORE-0086</t>
  </si>
  <si>
    <t>[Kiểm Thử E2E &amp; UAT] Quên mật khẩu &amp; Gửi link đặt lại mật khẩu qua Email</t>
  </si>
  <si>
    <t>Kiểm thử hộp đen/hộp trắng toàn diện, kiểm tra tải đồng thời, đối soát dữ liệu và nghiệm thu Ban Lãnh Đạo: Tạo token đặt lại có hạn 15 phút, gửi email chứa link một lần</t>
  </si>
  <si>
    <t>WBS-CORE-0087</t>
  </si>
  <si>
    <t>[Kiểm Thử E2E &amp; UAT] Đổi mật khẩu người dùng từ màn hình cài đặt tài khoản</t>
  </si>
  <si>
    <t>Kiểm thử hộp đen/hộp trắng toàn diện, kiểm tra tải đồng thời, đối soát dữ liệu và nghiệm thu Ban Lãnh Đạo: Yêu cầu nhập mật khẩu cũ, kiểm tra độ mạnh mật khẩu chuẩn OWASP</t>
  </si>
  <si>
    <t>WBS-CORE-0088</t>
  </si>
  <si>
    <t>[Kiểm Thử E2E &amp; UAT] Cập nhật thông tin hồ sơ cá nhân và chức danh hiệp hội</t>
  </si>
  <si>
    <t>Kiểm thử hộp đen/hộp trắng toàn diện, kiểm tra tải đồng thời, đối soát dữ liệu và nghiệm thu Ban Lãnh Đạo: Cập nhật họ tên, chức vụ doanh nghiệp, tiểu sử, ngành nghề hoạt động</t>
  </si>
  <si>
    <t>WBS-CORE-0089</t>
  </si>
  <si>
    <t>[Kiểm Thử E2E &amp; UAT] Tải lên ảnh đại diện Avatar và nén ảnh tự động phía Client</t>
  </si>
  <si>
    <t>Kiểm thử hộp đen/hộp trắng toàn diện, kiểm tra tải đồng thời, đối soát dữ liệu và nghiệm thu Ban Lãnh Đạo: Cắt ảnh tỷ lệ 1:1, nén dung lượng dưới 500KB trước khi upload</t>
  </si>
  <si>
    <t>WBS-CORE-0090</t>
  </si>
  <si>
    <t>[Kiểm Thử E2E &amp; UAT] Tải lên ảnh bìa Cover Banner hồ sơ doanh nhân sắc nét</t>
  </si>
  <si>
    <t>Kiểm thử hộp đen/hộp trắng toàn diện, kiểm tra tải đồng thời, đối soát dữ liệu và nghiệm thu Ban Lãnh Đạo: Hỗ trợ ảnh panorama tỷ lệ 16:9, lưu trữ MinIO/S3 CDN tốc độ cao</t>
  </si>
  <si>
    <t>WBS-CORE-0091</t>
  </si>
  <si>
    <t>[Kiểm Thử E2E &amp; UAT] Quản lý danh sách phiên đăng nhập và thiết bị đang kết nối</t>
  </si>
  <si>
    <t>Kiểm thử hộp đen/hộp trắng toàn diện, kiểm tra tải đồng thời, đối soát dữ liệu và nghiệm thu Ban Lãnh Đạo: Hiển thị IP, vị trí địa lý, trình duyệt, cho phép đăng xuất từ xa</t>
  </si>
  <si>
    <t>WBS-CORE-0092</t>
  </si>
  <si>
    <t>[Kiểm Thử E2E &amp; UAT] Cơ chế Xóa Mềm (Soft Delete) bản ghi bảo toàn dữ liệu</t>
  </si>
  <si>
    <t>Kiểm thử hộp đen/hộp trắng toàn diện, kiểm tra tải đồng thời, đối soát dữ liệu và nghiệm thu Ban Lãnh Đạo: Gán cờ deleted_at = NOW(), ẩn bản ghi khỏi giao diện thông thường</t>
  </si>
  <si>
    <t>WBS-CORE-0093</t>
  </si>
  <si>
    <t>[Kiểm Thử E2E &amp; UAT] Thùng rác hệ thống (Trash Bin) và lịch sử xóa</t>
  </si>
  <si>
    <t>Kiểm thử hộp đen/hộp trắng toàn diện, kiểm tra tải đồng thời, đối soát dữ liệu và nghiệm thu Ban Lãnh Đạo: Danh sách các mục đã xóa, hỗ trợ lọc theo người xóa và ngày xóa</t>
  </si>
  <si>
    <t>WBS-CORE-0094</t>
  </si>
  <si>
    <t>[Kiểm Thử E2E &amp; UAT] Phục hồi dữ liệu từ thùng rác (Restore Soft-deleted)</t>
  </si>
  <si>
    <t>Kiểm thử hộp đen/hộp trắng toàn diện, kiểm tra tải đồng thời, đối soát dữ liệu và nghiệm thu Ban Lãnh Đạo: Khôi phục bản ghi về trạng thái hoạt động, cập nhật audit log</t>
  </si>
  <si>
    <t>WBS-CORE-0095</t>
  </si>
  <si>
    <t>[Kiểm Thử E2E &amp; UAT] Xóa vĩnh viễn (Permanent Purge) đối với dữ liệu rác hết hạn</t>
  </si>
  <si>
    <t>Kiểm thử hộp đen/hộp trắng toàn diện, kiểm tra tải đồng thời, đối soát dữ liệu và nghiệm thu Ban Lãnh Đạo: Xóa hoàn toàn khỏi CSDL sau 90 ngày bảo lưu theo quy chế bảo mật</t>
  </si>
  <si>
    <t>WBS-CORE-0096</t>
  </si>
  <si>
    <t>[Kiểm Thử E2E &amp; UAT] Thao tác hàng loạt (Bulk Actions): Xóa, Cập nhật, Đổi trạng thái</t>
  </si>
  <si>
    <t>Kiểm thử hộp đen/hộp trắng toàn diện, kiểm tra tải đồng thời, đối soát dữ liệu và nghiệm thu Ban Lãnh Đạo: Chọn nhiều dòng dữ liệu, áp dụng thay đổi trong 1 Database Transaction</t>
  </si>
  <si>
    <t>WBS-CORE-0097</t>
  </si>
  <si>
    <t>[Kiểm Thử E2E &amp; UAT] Nhật ký kiểm toán an ninh (Security Audit Trail) bất biến</t>
  </si>
  <si>
    <t>Kiểm thử hộp đen/hộp trắng toàn diện, kiểm tra tải đồng thời, đối soát dữ liệu và nghiệm thu Ban Lãnh Đạo: Ghi vết 100% thay đổi dữ liệu, đăng nhập thất bại, xuất file danh bạ</t>
  </si>
  <si>
    <t>WBS-CORE-0098</t>
  </si>
  <si>
    <t>[Kiểm Thử E2E &amp; UAT] Ma trận phân quyền chi tiết 8 cấp bậc Granular RBAC</t>
  </si>
  <si>
    <t>Kiểm thử hộp đen/hộp trắng toàn diện, kiểm tra tải đồng thời, đối soát dữ liệu và nghiệm thu Ban Lãnh Đạo: Phân quyền View, Create, Edit, Delete, Approve, Export cho từng trang</t>
  </si>
  <si>
    <t>WBS-CORE-0099</t>
  </si>
  <si>
    <t>[Kiểm Thử E2E &amp; UAT] Cô lập dữ liệu Multi-Tenant an toàn bằng Row-Level Security</t>
  </si>
  <si>
    <t>Kiểm thử hộp đen/hộp trắng toàn diện, kiểm tra tải đồng thời, đối soát dữ liệu và nghiệm thu Ban Lãnh Đạo: Ngăn chặn rò rỉ dữ liệu giữa các Hiệp hội độc lập trên cùng DB</t>
  </si>
  <si>
    <t>WBS-CORE-0100</t>
  </si>
  <si>
    <t>[Kiểm Thử E2E &amp; UAT] Chặn brute-force và khóa tài khoản tạm thời sau 5 lần sai pass</t>
  </si>
  <si>
    <t>Kiểm thử hộp đen/hộp trắng toàn diện, kiểm tra tải đồng thời, đối soát dữ liệu và nghiệm thu Ban Lãnh Đạo: Lưu số lần thử sai trong Redis với thời gian hết hạn TTL 15 phút</t>
  </si>
  <si>
    <t>TỔNG CỘNG PHÂN HỆ</t>
  </si>
  <si>
    <t>VIONE MASTER WBS: TÌM KIẾM, PHÂN TRANG, BỘ LỌC &amp; CHẾ ĐỘ MÀU THEME</t>
  </si>
  <si>
    <t>WBS-SEARCH-0101</t>
  </si>
  <si>
    <t>Tìm Kiếm &amp; Giao Diện Người Dùng [Giai đoạn: Khởi Tạo, Phân Tích Nghiệp Vụ &amp; Mô Hình Dữ Liệu]</t>
  </si>
  <si>
    <t>[Kiến Trúc &amp; Schema] Tìm kiếm nhanh thời gian thực (Debounced Quick Search)</t>
  </si>
  <si>
    <t>Phân tích yêu cầu nghiệp vụ, thiết kế bảng dữ liệu CSDL PostgreSQL, đặc tả API RESTful và luồng nghiệp vụ chi tiết cho: Tự động gọi API sau 300ms dừng gõ phím, hiển thị kết quả gợi ý</t>
  </si>
  <si>
    <t>/search/quick</t>
  </si>
  <si>
    <t>Custom useDebounce Hook</t>
  </si>
  <si>
    <t>WBS-SEARCH-0102</t>
  </si>
  <si>
    <t>[Kiến Trúc &amp; Schema] Tìm kiếm toàn văn tiếng Việt không dấu (Full-text Search)</t>
  </si>
  <si>
    <t>Phân tích yêu cầu nghiệp vụ, thiết kế bảng dữ liệu CSDL PostgreSQL, đặc tả API RESTful và luồng nghiệp vụ chi tiết cho: Hỗ trợ tìm kiếm danh bạ, tin tức, văn kiện bỏ qua dấu tiếng Việt</t>
  </si>
  <si>
    <t>/search/full-text</t>
  </si>
  <si>
    <t>PostgreSQL unaccent &amp; tsvector</t>
  </si>
  <si>
    <t>WBS-SEARCH-0103</t>
  </si>
  <si>
    <t>[Kiến Trúc &amp; Schema] Phân trang truyền thống (Offset Pagination) kèm chọn số dòng</t>
  </si>
  <si>
    <t>Phân tích yêu cầu nghiệp vụ, thiết kế bảng dữ liệu CSDL PostgreSQL, đặc tả API RESTful và luồng nghiệp vụ chi tiết cho: Hỗ trợ tùy chọn 10, 25, 50, 100 dòng mỗi trang, nhảy trang nhanh</t>
  </si>
  <si>
    <t>/components/pagination</t>
  </si>
  <si>
    <t>Limit &amp; Offset Optimization</t>
  </si>
  <si>
    <t>WBS-SEARCH-0104</t>
  </si>
  <si>
    <t>[Kiến Trúc &amp; Schema] Phân trang con trỏ (Cursor-based Pagination) cho Feed dữ liệu lớn</t>
  </si>
  <si>
    <t>Phân tích yêu cầu nghiệp vụ, thiết kế bảng dữ liệu CSDL PostgreSQL, đặc tả API RESTful và luồng nghiệp vụ chi tiết cho: Tối ưu hóa hiệu năng bảng tin hàng triệu bài viết, không bị lệch trang</t>
  </si>
  <si>
    <t>/api/feed/cursor</t>
  </si>
  <si>
    <t>Indexed Cursor ID Paging</t>
  </si>
  <si>
    <t>WBS-SEARCH-0105</t>
  </si>
  <si>
    <t>[Kiến Trúc &amp; Schema] Cuộn vô tận (Infinite Scroll) tự động tải trang tiếp theo</t>
  </si>
  <si>
    <t>Phân tích yêu cầu nghiệp vụ, thiết kế bảng dữ liệu CSDL PostgreSQL, đặc tả API RESTful và luồng nghiệp vụ chi tiết cho: Sử dụng Intersection Observer API phát hiện đáy màn hình để fetch</t>
  </si>
  <si>
    <t>/components/infinite-scroll</t>
  </si>
  <si>
    <t>IntersectionObserver API</t>
  </si>
  <si>
    <t>WBS-SEARCH-0106</t>
  </si>
  <si>
    <t>[Kiến Trúc &amp; Schema] Bộ lọc đa tiêu chí (Multi-criteria Faceted Filter)</t>
  </si>
  <si>
    <t>Phân tích yêu cầu nghiệp vụ, thiết kế bảng dữ liệu CSDL PostgreSQL, đặc tả API RESTful và luồng nghiệp vụ chi tiết cho: Lọc kết hợp: Ngành nghề + Khu vực + Hạng hội viên + Trạng thái phí</t>
  </si>
  <si>
    <t>/members/faceted-filter</t>
  </si>
  <si>
    <t>Ban Thư Ký</t>
  </si>
  <si>
    <t>Prisma Dynamic Where Input</t>
  </si>
  <si>
    <t>WBS-SEARCH-0107</t>
  </si>
  <si>
    <t>[Kiến Trúc &amp; Schema] Lưu bộ lọc tìm kiếm ưa thích (Saved Custom Filters)</t>
  </si>
  <si>
    <t>Phân tích yêu cầu nghiệp vụ, thiết kế bảng dữ liệu CSDL PostgreSQL, đặc tả API RESTful và luồng nghiệp vụ chi tiết cho: Cho phép cán bộ quản lý lưu cấu hình bộ lọc để truy cập nhanh 1-click</t>
  </si>
  <si>
    <t>/filters/saved-views</t>
  </si>
  <si>
    <t>Local &amp; Cloud Filter Sync</t>
  </si>
  <si>
    <t>WBS-SEARCH-0108</t>
  </si>
  <si>
    <t>[Kiến Trúc &amp; Schema] Sắp xếp cột linh hoạt đa cấp độ (Multi-column Sorting)</t>
  </si>
  <si>
    <t>Phân tích yêu cầu nghiệp vụ, thiết kế bảng dữ liệu CSDL PostgreSQL, đặc tả API RESTful và luồng nghiệp vụ chi tiết cho: Click tiêu đề cột để đảo chiều Tăng/Giảm (ASC/DESC), giữ trạng thái</t>
  </si>
  <si>
    <t>/components/data-table/sort</t>
  </si>
  <si>
    <t>TanStack Table Sorting</t>
  </si>
  <si>
    <t>WBS-SEARCH-0109</t>
  </si>
  <si>
    <t>[Kiến Trúc &amp; Schema] Tùy biến hiển thị cột trong bảng dữ liệu (Column Visibility)</t>
  </si>
  <si>
    <t>Phân tích yêu cầu nghiệp vụ, thiết kế bảng dữ liệu CSDL PostgreSQL, đặc tả API RESTful và luồng nghiệp vụ chi tiết cho: Bật/tắt các cột dữ liệu tùy theo nhu cầu xem, lưu vào LocalStorage</t>
  </si>
  <si>
    <t>/components/data-table/columns</t>
  </si>
  <si>
    <t>TanStack Table Visibility</t>
  </si>
  <si>
    <t>WBS-SEARCH-0110</t>
  </si>
  <si>
    <t>[Kiến Trúc &amp; Schema] Chế độ xem bảng dữ liệu Cô Đọng / Thoải Mái (Density Toggle)</t>
  </si>
  <si>
    <t>Phân tích yêu cầu nghiệp vụ, thiết kế bảng dữ liệu CSDL PostgreSQL, đặc tả API RESTful và luồng nghiệp vụ chi tiết cho: Chuyển đổi giữa Compact View (nhiều dữ liệu) và Comfortable View</t>
  </si>
  <si>
    <t>/components/data-table/density</t>
  </si>
  <si>
    <t>Thấp</t>
  </si>
  <si>
    <t>Tailwind Spacing Variables</t>
  </si>
  <si>
    <t>WBS-SEARCH-0111</t>
  </si>
  <si>
    <t>[Kiến Trúc &amp; Schema] Chế độ Sáng (Light Mode) chuẩn mực văn phòng trang nhã</t>
  </si>
  <si>
    <t>Phân tích yêu cầu nghiệp vụ, thiết kế bảng dữ liệu CSDL PostgreSQL, đặc tả API RESTful và luồng nghiệp vụ chi tiết cho: Màu nền trắng ngà dịu mắt, độ tương phản văn bản đạt chuẩn WCAG AA</t>
  </si>
  <si>
    <t>/theme/light</t>
  </si>
  <si>
    <t>CSS Theme Token Variables</t>
  </si>
  <si>
    <t>WBS-SEARCH-0112</t>
  </si>
  <si>
    <t>[Kiến Trúc &amp; Schema] Chế độ Tối (Dark Mode) chuẩn doanh nhân sang trọng</t>
  </si>
  <si>
    <t>Phân tích yêu cầu nghiệp vụ, thiết kế bảng dữ liệu CSDL PostgreSQL, đặc tả API RESTful và luồng nghiệp vụ chi tiết cho: Nền đen tím sâu thẳm, giảm mỏi mắt ban đêm, tiết kiệm pin OLED</t>
  </si>
  <si>
    <t>/theme/dark</t>
  </si>
  <si>
    <t>Tailwind dark: Variants</t>
  </si>
  <si>
    <t>WBS-SEARCH-0113</t>
  </si>
  <si>
    <t>[Kiến Trúc &amp; Schema] Chế độ Tương Phản Cao (High Contrast) cho người lớn tuổi</t>
  </si>
  <si>
    <t>Phân tích yêu cầu nghiệp vụ, thiết kế bảng dữ liệu CSDL PostgreSQL, đặc tả API RESTful và luồng nghiệp vụ chi tiết cho: Đen trắng dứt khoát, viền thẻ nét đậm, loại bỏ hoàn toàn đổ bóng mờ</t>
  </si>
  <si>
    <t>/theme/contrast</t>
  </si>
  <si>
    <t>Hội Viên Cao Niên</t>
  </si>
  <si>
    <t>data-theme="contrast" Rules</t>
  </si>
  <si>
    <t>WBS-SEARCH-0114</t>
  </si>
  <si>
    <t>[Kiến Trúc &amp; Schema] Hiệu ứng đóng mở cửa (Door Transition) khi chuyển Theme</t>
  </si>
  <si>
    <t>Phân tích yêu cầu nghiệp vụ, thiết kế bảng dữ liệu CSDL PostgreSQL, đặc tả API RESTful và luồng nghiệp vụ chi tiết cho: Cánh cửa trượt đóng lại 600ms, đổi màu theme phía sau rồi mở ra</t>
  </si>
  <si>
    <t>/theme/door-transition</t>
  </si>
  <si>
    <t>Framer Motion Door Slider</t>
  </si>
  <si>
    <t>WBS-SEARCH-0115</t>
  </si>
  <si>
    <t>[Kiến Trúc &amp; Schema] Tự động đồng bộ chế độ màu theo hệ điều hành (Auto System Sync)</t>
  </si>
  <si>
    <t>Phân tích yêu cầu nghiệp vụ, thiết kế bảng dữ liệu CSDL PostgreSQL, đặc tả API RESTful và luồng nghiệp vụ chi tiết cho: Lắng nghe media query prefers-color-scheme để tự đổi theme mượt mà</t>
  </si>
  <si>
    <t>/theme/auto-detect</t>
  </si>
  <si>
    <t>window.matchMedia Listener</t>
  </si>
  <si>
    <t>WBS-SEARCH-0116</t>
  </si>
  <si>
    <t>[Kiến Trúc &amp; Schema] Tùy chỉnh kích thước chữ (Font Size Accessibility Scaling)</t>
  </si>
  <si>
    <t>Phân tích yêu cầu nghiệp vụ, thiết kế bảng dữ liệu CSDL PostgreSQL, đặc tả API RESTful và luồng nghiệp vụ chi tiết cho: Hỗ trợ phóng to cỡ chữ 110%, 125%, 150% cho người có thị lực yếu</t>
  </si>
  <si>
    <t>/settings/accessibility</t>
  </si>
  <si>
    <t>Root REM Size Scaling</t>
  </si>
  <si>
    <t>WBS-SEARCH-0117</t>
  </si>
  <si>
    <t>[Kiến Trúc &amp; Schema] Bảng màu điểm nhấn thương hiệu (Brand Accent Color Picker)</t>
  </si>
  <si>
    <t>Phân tích yêu cầu nghiệp vụ, thiết kế bảng dữ liệu CSDL PostgreSQL, đặc tả API RESTful và luồng nghiệp vụ chi tiết cho: Cho phép tùy chọn màu chủ đạo: Vàng Hoàng Gia, Xanh Navy, Ngọc Lục</t>
  </si>
  <si>
    <t>/settings/brand-color</t>
  </si>
  <si>
    <t>Doanh Nghiệp</t>
  </si>
  <si>
    <t>Dynamic CSS Primary Hue</t>
  </si>
  <si>
    <t>WBS-SEARCH-0118</t>
  </si>
  <si>
    <t>[Kiến Trúc &amp; Schema] Lưu trạng thái giao diện người dùng trên đám mây (User UI State)</t>
  </si>
  <si>
    <t>Phân tích yêu cầu nghiệp vụ, thiết kế bảng dữ liệu CSDL PostgreSQL, đặc tả API RESTful và luồng nghiệp vụ chi tiết cho: Đồng bộ cấu hình theme, độ rộng cột bảng giữa Mobile và Desktop</t>
  </si>
  <si>
    <t>/profile/ui-preferences</t>
  </si>
  <si>
    <t>PostgreSQL JSONB Storage</t>
  </si>
  <si>
    <t>WBS-SEARCH-0119</t>
  </si>
  <si>
    <t>[Kiến Trúc &amp; Schema] Tối ưu hóa Skeleton Loader khi tải dữ liệu trang tìm kiếm</t>
  </si>
  <si>
    <t>Phân tích yêu cầu nghiệp vụ, thiết kế bảng dữ liệu CSDL PostgreSQL, đặc tả API RESTful và luồng nghiệp vụ chi tiết cho: Hiển thị khung xương chuyển động tạo cảm giác ứng dụng phản hồi ngay</t>
  </si>
  <si>
    <t>/components/skeletons</t>
  </si>
  <si>
    <t>Pulsing Shimmer Effect</t>
  </si>
  <si>
    <t>WBS-SEARCH-0120</t>
  </si>
  <si>
    <t>[Kiến Trúc &amp; Schema] Trang thông báo kết quả tìm kiếm rỗng (Empty State UX)</t>
  </si>
  <si>
    <t>Phân tích yêu cầu nghiệp vụ, thiết kế bảng dữ liệu CSDL PostgreSQL, đặc tả API RESTful và luồng nghiệp vụ chi tiết cho: Gợi ý từ khóa liên quan, nút xóa nhanh bộ lọc khi không có dữ liệu</t>
  </si>
  <si>
    <t>/components/empty-state</t>
  </si>
  <si>
    <t>Illustrative Helpful Guidance</t>
  </si>
  <si>
    <t>WBS-SEARCH-0121</t>
  </si>
  <si>
    <t>Tìm Kiếm &amp; Giao Diện Người Dùng [Giai đoạn: Xây Dựng Giao Diện Người Dùng Frontend (Desktop &amp; Mobile)]</t>
  </si>
  <si>
    <t>[Giao Diện Frontend] Tìm kiếm nhanh thời gian thực (Debounced Quick Search)</t>
  </si>
  <si>
    <t>Phát triển giao diện React/Tailwind, tối ưu hóa responsive di động, xử lý trạng thái loading/error/empty state: Tự động gọi API sau 300ms dừng gõ phím, hiển thị kết quả gợi ý</t>
  </si>
  <si>
    <t>WBS-SEARCH-0122</t>
  </si>
  <si>
    <t>[Giao Diện Frontend] Tìm kiếm toàn văn tiếng Việt không dấu (Full-text Search)</t>
  </si>
  <si>
    <t>Phát triển giao diện React/Tailwind, tối ưu hóa responsive di động, xử lý trạng thái loading/error/empty state: Hỗ trợ tìm kiếm danh bạ, tin tức, văn kiện bỏ qua dấu tiếng Việt</t>
  </si>
  <si>
    <t>WBS-SEARCH-0123</t>
  </si>
  <si>
    <t>[Giao Diện Frontend] Phân trang truyền thống (Offset Pagination) kèm chọn số dòng</t>
  </si>
  <si>
    <t>Phát triển giao diện React/Tailwind, tối ưu hóa responsive di động, xử lý trạng thái loading/error/empty state: Hỗ trợ tùy chọn 10, 25, 50, 100 dòng mỗi trang, nhảy trang nhanh</t>
  </si>
  <si>
    <t>WBS-SEARCH-0124</t>
  </si>
  <si>
    <t>[Giao Diện Frontend] Phân trang con trỏ (Cursor-based Pagination) cho Feed dữ liệu lớn</t>
  </si>
  <si>
    <t>Phát triển giao diện React/Tailwind, tối ưu hóa responsive di động, xử lý trạng thái loading/error/empty state: Tối ưu hóa hiệu năng bảng tin hàng triệu bài viết, không bị lệch trang</t>
  </si>
  <si>
    <t>WBS-SEARCH-0125</t>
  </si>
  <si>
    <t>[Giao Diện Frontend] Cuộn vô tận (Infinite Scroll) tự động tải trang tiếp theo</t>
  </si>
  <si>
    <t>Phát triển giao diện React/Tailwind, tối ưu hóa responsive di động, xử lý trạng thái loading/error/empty state: Sử dụng Intersection Observer API phát hiện đáy màn hình để fetch</t>
  </si>
  <si>
    <t>WBS-SEARCH-0126</t>
  </si>
  <si>
    <t>[Giao Diện Frontend] Bộ lọc đa tiêu chí (Multi-criteria Faceted Filter)</t>
  </si>
  <si>
    <t>Phát triển giao diện React/Tailwind, tối ưu hóa responsive di động, xử lý trạng thái loading/error/empty state: Lọc kết hợp: Ngành nghề + Khu vực + Hạng hội viên + Trạng thái phí</t>
  </si>
  <si>
    <t>WBS-SEARCH-0127</t>
  </si>
  <si>
    <t>[Giao Diện Frontend] Lưu bộ lọc tìm kiếm ưa thích (Saved Custom Filters)</t>
  </si>
  <si>
    <t>Phát triển giao diện React/Tailwind, tối ưu hóa responsive di động, xử lý trạng thái loading/error/empty state: Cho phép cán bộ quản lý lưu cấu hình bộ lọc để truy cập nhanh 1-click</t>
  </si>
  <si>
    <t>WBS-SEARCH-0128</t>
  </si>
  <si>
    <t>[Giao Diện Frontend] Sắp xếp cột linh hoạt đa cấp độ (Multi-column Sorting)</t>
  </si>
  <si>
    <t>Phát triển giao diện React/Tailwind, tối ưu hóa responsive di động, xử lý trạng thái loading/error/empty state: Click tiêu đề cột để đảo chiều Tăng/Giảm (ASC/DESC), giữ trạng thái</t>
  </si>
  <si>
    <t>WBS-SEARCH-0129</t>
  </si>
  <si>
    <t>[Giao Diện Frontend] Tùy biến hiển thị cột trong bảng dữ liệu (Column Visibility)</t>
  </si>
  <si>
    <t>Phát triển giao diện React/Tailwind, tối ưu hóa responsive di động, xử lý trạng thái loading/error/empty state: Bật/tắt các cột dữ liệu tùy theo nhu cầu xem, lưu vào LocalStorage</t>
  </si>
  <si>
    <t>WBS-SEARCH-0130</t>
  </si>
  <si>
    <t>[Giao Diện Frontend] Chế độ xem bảng dữ liệu Cô Đọng / Thoải Mái (Density Toggle)</t>
  </si>
  <si>
    <t>Phát triển giao diện React/Tailwind, tối ưu hóa responsive di động, xử lý trạng thái loading/error/empty state: Chuyển đổi giữa Compact View (nhiều dữ liệu) và Comfortable View</t>
  </si>
  <si>
    <t>WBS-SEARCH-0131</t>
  </si>
  <si>
    <t>[Giao Diện Frontend] Chế độ Sáng (Light Mode) chuẩn mực văn phòng trang nhã</t>
  </si>
  <si>
    <t>Phát triển giao diện React/Tailwind, tối ưu hóa responsive di động, xử lý trạng thái loading/error/empty state: Màu nền trắng ngà dịu mắt, độ tương phản văn bản đạt chuẩn WCAG AA</t>
  </si>
  <si>
    <t>WBS-SEARCH-0132</t>
  </si>
  <si>
    <t>[Giao Diện Frontend] Chế độ Tối (Dark Mode) chuẩn doanh nhân sang trọng</t>
  </si>
  <si>
    <t>Phát triển giao diện React/Tailwind, tối ưu hóa responsive di động, xử lý trạng thái loading/error/empty state: Nền đen tím sâu thẳm, giảm mỏi mắt ban đêm, tiết kiệm pin OLED</t>
  </si>
  <si>
    <t>WBS-SEARCH-0133</t>
  </si>
  <si>
    <t>[Giao Diện Frontend] Chế độ Tương Phản Cao (High Contrast) cho người lớn tuổi</t>
  </si>
  <si>
    <t>Phát triển giao diện React/Tailwind, tối ưu hóa responsive di động, xử lý trạng thái loading/error/empty state: Đen trắng dứt khoát, viền thẻ nét đậm, loại bỏ hoàn toàn đổ bóng mờ</t>
  </si>
  <si>
    <t>WBS-SEARCH-0134</t>
  </si>
  <si>
    <t>[Giao Diện Frontend] Hiệu ứng đóng mở cửa (Door Transition) khi chuyển Theme</t>
  </si>
  <si>
    <t>Phát triển giao diện React/Tailwind, tối ưu hóa responsive di động, xử lý trạng thái loading/error/empty state: Cánh cửa trượt đóng lại 600ms, đổi màu theme phía sau rồi mở ra</t>
  </si>
  <si>
    <t>WBS-SEARCH-0135</t>
  </si>
  <si>
    <t>[Giao Diện Frontend] Tự động đồng bộ chế độ màu theo hệ điều hành (Auto System Sync)</t>
  </si>
  <si>
    <t>Phát triển giao diện React/Tailwind, tối ưu hóa responsive di động, xử lý trạng thái loading/error/empty state: Lắng nghe media query prefers-color-scheme để tự đổi theme mượt mà</t>
  </si>
  <si>
    <t>WBS-SEARCH-0136</t>
  </si>
  <si>
    <t>[Giao Diện Frontend] Tùy chỉnh kích thước chữ (Font Size Accessibility Scaling)</t>
  </si>
  <si>
    <t>Phát triển giao diện React/Tailwind, tối ưu hóa responsive di động, xử lý trạng thái loading/error/empty state: Hỗ trợ phóng to cỡ chữ 110%, 125%, 150% cho người có thị lực yếu</t>
  </si>
  <si>
    <t>WBS-SEARCH-0137</t>
  </si>
  <si>
    <t>[Giao Diện Frontend] Bảng màu điểm nhấn thương hiệu (Brand Accent Color Picker)</t>
  </si>
  <si>
    <t>Phát triển giao diện React/Tailwind, tối ưu hóa responsive di động, xử lý trạng thái loading/error/empty state: Cho phép tùy chọn màu chủ đạo: Vàng Hoàng Gia, Xanh Navy, Ngọc Lục</t>
  </si>
  <si>
    <t>WBS-SEARCH-0138</t>
  </si>
  <si>
    <t>[Giao Diện Frontend] Lưu trạng thái giao diện người dùng trên đám mây (User UI State)</t>
  </si>
  <si>
    <t>Phát triển giao diện React/Tailwind, tối ưu hóa responsive di động, xử lý trạng thái loading/error/empty state: Đồng bộ cấu hình theme, độ rộng cột bảng giữa Mobile và Desktop</t>
  </si>
  <si>
    <t>WBS-SEARCH-0139</t>
  </si>
  <si>
    <t>[Giao Diện Frontend] Tối ưu hóa Skeleton Loader khi tải dữ liệu trang tìm kiếm</t>
  </si>
  <si>
    <t>Phát triển giao diện React/Tailwind, tối ưu hóa responsive di động, xử lý trạng thái loading/error/empty state: Hiển thị khung xương chuyển động tạo cảm giác ứng dụng phản hồi ngay</t>
  </si>
  <si>
    <t>WBS-SEARCH-0140</t>
  </si>
  <si>
    <t>[Giao Diện Frontend] Trang thông báo kết quả tìm kiếm rỗng (Empty State UX)</t>
  </si>
  <si>
    <t>Phát triển giao diện React/Tailwind, tối ưu hóa responsive di động, xử lý trạng thái loading/error/empty state: Gợi ý từ khóa liên quan, nút xóa nhanh bộ lọc khi không có dữ liệu</t>
  </si>
  <si>
    <t>WBS-SEARCH-0141</t>
  </si>
  <si>
    <t>Tìm Kiếm &amp; Giao Diện Người Dùng [Giai đoạn: Xử Lý Logic Nghiệp Vụ Backend API &amp; Cơ Sở Dữ Liệu CSDL]</t>
  </si>
  <si>
    <t>[Logic Backend CSDL] Tìm kiếm nhanh thời gian thực (Debounced Quick Search)</t>
  </si>
  <si>
    <t>Xây dựng NestJS Controller, Service, Prisma ORM, kiểm tra ràng buộc dữ liệu DTO và xử lý Transaction ACID: Tự động gọi API sau 300ms dừng gõ phím, hiển thị kết quả gợi ý</t>
  </si>
  <si>
    <t>WBS-SEARCH-0142</t>
  </si>
  <si>
    <t>[Logic Backend CSDL] Tìm kiếm toàn văn tiếng Việt không dấu (Full-text Search)</t>
  </si>
  <si>
    <t>Xây dựng NestJS Controller, Service, Prisma ORM, kiểm tra ràng buộc dữ liệu DTO và xử lý Transaction ACID: Hỗ trợ tìm kiếm danh bạ, tin tức, văn kiện bỏ qua dấu tiếng Việt</t>
  </si>
  <si>
    <t>WBS-SEARCH-0143</t>
  </si>
  <si>
    <t>[Logic Backend CSDL] Phân trang truyền thống (Offset Pagination) kèm chọn số dòng</t>
  </si>
  <si>
    <t>Xây dựng NestJS Controller, Service, Prisma ORM, kiểm tra ràng buộc dữ liệu DTO và xử lý Transaction ACID: Hỗ trợ tùy chọn 10, 25, 50, 100 dòng mỗi trang, nhảy trang nhanh</t>
  </si>
  <si>
    <t>WBS-SEARCH-0144</t>
  </si>
  <si>
    <t>[Logic Backend CSDL] Phân trang con trỏ (Cursor-based Pagination) cho Feed dữ liệu lớn</t>
  </si>
  <si>
    <t>Xây dựng NestJS Controller, Service, Prisma ORM, kiểm tra ràng buộc dữ liệu DTO và xử lý Transaction ACID: Tối ưu hóa hiệu năng bảng tin hàng triệu bài viết, không bị lệch trang</t>
  </si>
  <si>
    <t>WBS-SEARCH-0145</t>
  </si>
  <si>
    <t>[Logic Backend CSDL] Cuộn vô tận (Infinite Scroll) tự động tải trang tiếp theo</t>
  </si>
  <si>
    <t>Xây dựng NestJS Controller, Service, Prisma ORM, kiểm tra ràng buộc dữ liệu DTO và xử lý Transaction ACID: Sử dụng Intersection Observer API phát hiện đáy màn hình để fetch</t>
  </si>
  <si>
    <t>WBS-SEARCH-0146</t>
  </si>
  <si>
    <t>[Logic Backend CSDL] Bộ lọc đa tiêu chí (Multi-criteria Faceted Filter)</t>
  </si>
  <si>
    <t>Xây dựng NestJS Controller, Service, Prisma ORM, kiểm tra ràng buộc dữ liệu DTO và xử lý Transaction ACID: Lọc kết hợp: Ngành nghề + Khu vực + Hạng hội viên + Trạng thái phí</t>
  </si>
  <si>
    <t>WBS-SEARCH-0147</t>
  </si>
  <si>
    <t>[Logic Backend CSDL] Lưu bộ lọc tìm kiếm ưa thích (Saved Custom Filters)</t>
  </si>
  <si>
    <t>Xây dựng NestJS Controller, Service, Prisma ORM, kiểm tra ràng buộc dữ liệu DTO và xử lý Transaction ACID: Cho phép cán bộ quản lý lưu cấu hình bộ lọc để truy cập nhanh 1-click</t>
  </si>
  <si>
    <t>WBS-SEARCH-0148</t>
  </si>
  <si>
    <t>[Logic Backend CSDL] Sắp xếp cột linh hoạt đa cấp độ (Multi-column Sorting)</t>
  </si>
  <si>
    <t>Xây dựng NestJS Controller, Service, Prisma ORM, kiểm tra ràng buộc dữ liệu DTO và xử lý Transaction ACID: Click tiêu đề cột để đảo chiều Tăng/Giảm (ASC/DESC), giữ trạng thái</t>
  </si>
  <si>
    <t>WBS-SEARCH-0149</t>
  </si>
  <si>
    <t>[Logic Backend CSDL] Tùy biến hiển thị cột trong bảng dữ liệu (Column Visibility)</t>
  </si>
  <si>
    <t>Xây dựng NestJS Controller, Service, Prisma ORM, kiểm tra ràng buộc dữ liệu DTO và xử lý Transaction ACID: Bật/tắt các cột dữ liệu tùy theo nhu cầu xem, lưu vào LocalStorage</t>
  </si>
  <si>
    <t>WBS-SEARCH-0150</t>
  </si>
  <si>
    <t>[Logic Backend CSDL] Chế độ xem bảng dữ liệu Cô Đọng / Thoải Mái (Density Toggle)</t>
  </si>
  <si>
    <t>Xây dựng NestJS Controller, Service, Prisma ORM, kiểm tra ràng buộc dữ liệu DTO và xử lý Transaction ACID: Chuyển đổi giữa Compact View (nhiều dữ liệu) và Comfortable View</t>
  </si>
  <si>
    <t>WBS-SEARCH-0151</t>
  </si>
  <si>
    <t>[Logic Backend CSDL] Chế độ Sáng (Light Mode) chuẩn mực văn phòng trang nhã</t>
  </si>
  <si>
    <t>Xây dựng NestJS Controller, Service, Prisma ORM, kiểm tra ràng buộc dữ liệu DTO và xử lý Transaction ACID: Màu nền trắng ngà dịu mắt, độ tương phản văn bản đạt chuẩn WCAG AA</t>
  </si>
  <si>
    <t>WBS-SEARCH-0152</t>
  </si>
  <si>
    <t>[Logic Backend CSDL] Chế độ Tối (Dark Mode) chuẩn doanh nhân sang trọng</t>
  </si>
  <si>
    <t>Xây dựng NestJS Controller, Service, Prisma ORM, kiểm tra ràng buộc dữ liệu DTO và xử lý Transaction ACID: Nền đen tím sâu thẳm, giảm mỏi mắt ban đêm, tiết kiệm pin OLED</t>
  </si>
  <si>
    <t>WBS-SEARCH-0153</t>
  </si>
  <si>
    <t>[Logic Backend CSDL] Chế độ Tương Phản Cao (High Contrast) cho người lớn tuổi</t>
  </si>
  <si>
    <t>Xây dựng NestJS Controller, Service, Prisma ORM, kiểm tra ràng buộc dữ liệu DTO và xử lý Transaction ACID: Đen trắng dứt khoát, viền thẻ nét đậm, loại bỏ hoàn toàn đổ bóng mờ</t>
  </si>
  <si>
    <t>WBS-SEARCH-0154</t>
  </si>
  <si>
    <t>[Logic Backend CSDL] Hiệu ứng đóng mở cửa (Door Transition) khi chuyển Theme</t>
  </si>
  <si>
    <t>Xây dựng NestJS Controller, Service, Prisma ORM, kiểm tra ràng buộc dữ liệu DTO và xử lý Transaction ACID: Cánh cửa trượt đóng lại 600ms, đổi màu theme phía sau rồi mở ra</t>
  </si>
  <si>
    <t>WBS-SEARCH-0155</t>
  </si>
  <si>
    <t>[Logic Backend CSDL] Tự động đồng bộ chế độ màu theo hệ điều hành (Auto System Sync)</t>
  </si>
  <si>
    <t>Xây dựng NestJS Controller, Service, Prisma ORM, kiểm tra ràng buộc dữ liệu DTO và xử lý Transaction ACID: Lắng nghe media query prefers-color-scheme để tự đổi theme mượt mà</t>
  </si>
  <si>
    <t>WBS-SEARCH-0156</t>
  </si>
  <si>
    <t>[Logic Backend CSDL] Tùy chỉnh kích thước chữ (Font Size Accessibility Scaling)</t>
  </si>
  <si>
    <t>Xây dựng NestJS Controller, Service, Prisma ORM, kiểm tra ràng buộc dữ liệu DTO và xử lý Transaction ACID: Hỗ trợ phóng to cỡ chữ 110%, 125%, 150% cho người có thị lực yếu</t>
  </si>
  <si>
    <t>WBS-SEARCH-0157</t>
  </si>
  <si>
    <t>[Logic Backend CSDL] Bảng màu điểm nhấn thương hiệu (Brand Accent Color Picker)</t>
  </si>
  <si>
    <t>Xây dựng NestJS Controller, Service, Prisma ORM, kiểm tra ràng buộc dữ liệu DTO và xử lý Transaction ACID: Cho phép tùy chọn màu chủ đạo: Vàng Hoàng Gia, Xanh Navy, Ngọc Lục</t>
  </si>
  <si>
    <t>WBS-SEARCH-0158</t>
  </si>
  <si>
    <t>[Logic Backend CSDL] Lưu trạng thái giao diện người dùng trên đám mây (User UI State)</t>
  </si>
  <si>
    <t>Xây dựng NestJS Controller, Service, Prisma ORM, kiểm tra ràng buộc dữ liệu DTO và xử lý Transaction ACID: Đồng bộ cấu hình theme, độ rộng cột bảng giữa Mobile và Desktop</t>
  </si>
  <si>
    <t>WBS-SEARCH-0159</t>
  </si>
  <si>
    <t>[Logic Backend CSDL] Tối ưu hóa Skeleton Loader khi tải dữ liệu trang tìm kiếm</t>
  </si>
  <si>
    <t>Xây dựng NestJS Controller, Service, Prisma ORM, kiểm tra ràng buộc dữ liệu DTO và xử lý Transaction ACID: Hiển thị khung xương chuyển động tạo cảm giác ứng dụng phản hồi ngay</t>
  </si>
  <si>
    <t>WBS-SEARCH-0160</t>
  </si>
  <si>
    <t>[Logic Backend CSDL] Trang thông báo kết quả tìm kiếm rỗng (Empty State UX)</t>
  </si>
  <si>
    <t>Xây dựng NestJS Controller, Service, Prisma ORM, kiểm tra ràng buộc dữ liệu DTO và xử lý Transaction ACID: Gợi ý từ khóa liên quan, nút xóa nhanh bộ lọc khi không có dữ liệu</t>
  </si>
  <si>
    <t>WBS-SEARCH-0161</t>
  </si>
  <si>
    <t>Tìm Kiếm &amp; Giao Diện Người Dùng [Giai đoạn: Tích Hợp Realtime, Hàng Đợi Worker &amp; Bảo Mật Granular RBAC]</t>
  </si>
  <si>
    <t>[Tích Hợp &amp; Bảo Mật] Tìm kiếm nhanh thời gian thực (Debounced Quick Search)</t>
  </si>
  <si>
    <t>Tích hợp phân quyền Granular RBAC, bảo vệ chống XSS/SQLi, caching Redis và cơ chế realtime/worker: Tự động gọi API sau 300ms dừng gõ phím, hiển thị kết quả gợi ý</t>
  </si>
  <si>
    <t>WBS-SEARCH-0162</t>
  </si>
  <si>
    <t>[Tích Hợp &amp; Bảo Mật] Tìm kiếm toàn văn tiếng Việt không dấu (Full-text Search)</t>
  </si>
  <si>
    <t>Tích hợp phân quyền Granular RBAC, bảo vệ chống XSS/SQLi, caching Redis và cơ chế realtime/worker: Hỗ trợ tìm kiếm danh bạ, tin tức, văn kiện bỏ qua dấu tiếng Việt</t>
  </si>
  <si>
    <t>WBS-SEARCH-0163</t>
  </si>
  <si>
    <t>[Tích Hợp &amp; Bảo Mật] Phân trang truyền thống (Offset Pagination) kèm chọn số dòng</t>
  </si>
  <si>
    <t>Tích hợp phân quyền Granular RBAC, bảo vệ chống XSS/SQLi, caching Redis và cơ chế realtime/worker: Hỗ trợ tùy chọn 10, 25, 50, 100 dòng mỗi trang, nhảy trang nhanh</t>
  </si>
  <si>
    <t>WBS-SEARCH-0164</t>
  </si>
  <si>
    <t>[Tích Hợp &amp; Bảo Mật] Phân trang con trỏ (Cursor-based Pagination) cho Feed dữ liệu lớn</t>
  </si>
  <si>
    <t>Tích hợp phân quyền Granular RBAC, bảo vệ chống XSS/SQLi, caching Redis và cơ chế realtime/worker: Tối ưu hóa hiệu năng bảng tin hàng triệu bài viết, không bị lệch trang</t>
  </si>
  <si>
    <t>WBS-SEARCH-0165</t>
  </si>
  <si>
    <t>[Tích Hợp &amp; Bảo Mật] Cuộn vô tận (Infinite Scroll) tự động tải trang tiếp theo</t>
  </si>
  <si>
    <t>Tích hợp phân quyền Granular RBAC, bảo vệ chống XSS/SQLi, caching Redis và cơ chế realtime/worker: Sử dụng Intersection Observer API phát hiện đáy màn hình để fetch</t>
  </si>
  <si>
    <t>WBS-SEARCH-0166</t>
  </si>
  <si>
    <t>[Tích Hợp &amp; Bảo Mật] Bộ lọc đa tiêu chí (Multi-criteria Faceted Filter)</t>
  </si>
  <si>
    <t>Tích hợp phân quyền Granular RBAC, bảo vệ chống XSS/SQLi, caching Redis và cơ chế realtime/worker: Lọc kết hợp: Ngành nghề + Khu vực + Hạng hội viên + Trạng thái phí</t>
  </si>
  <si>
    <t>WBS-SEARCH-0167</t>
  </si>
  <si>
    <t>[Tích Hợp &amp; Bảo Mật] Lưu bộ lọc tìm kiếm ưa thích (Saved Custom Filters)</t>
  </si>
  <si>
    <t>Tích hợp phân quyền Granular RBAC, bảo vệ chống XSS/SQLi, caching Redis và cơ chế realtime/worker: Cho phép cán bộ quản lý lưu cấu hình bộ lọc để truy cập nhanh 1-click</t>
  </si>
  <si>
    <t>WBS-SEARCH-0168</t>
  </si>
  <si>
    <t>[Tích Hợp &amp; Bảo Mật] Sắp xếp cột linh hoạt đa cấp độ (Multi-column Sorting)</t>
  </si>
  <si>
    <t>Tích hợp phân quyền Granular RBAC, bảo vệ chống XSS/SQLi, caching Redis và cơ chế realtime/worker: Click tiêu đề cột để đảo chiều Tăng/Giảm (ASC/DESC), giữ trạng thái</t>
  </si>
  <si>
    <t>WBS-SEARCH-0169</t>
  </si>
  <si>
    <t>[Tích Hợp &amp; Bảo Mật] Tùy biến hiển thị cột trong bảng dữ liệu (Column Visibility)</t>
  </si>
  <si>
    <t>Tích hợp phân quyền Granular RBAC, bảo vệ chống XSS/SQLi, caching Redis và cơ chế realtime/worker: Bật/tắt các cột dữ liệu tùy theo nhu cầu xem, lưu vào LocalStorage</t>
  </si>
  <si>
    <t>WBS-SEARCH-0170</t>
  </si>
  <si>
    <t>[Tích Hợp &amp; Bảo Mật] Chế độ xem bảng dữ liệu Cô Đọng / Thoải Mái (Density Toggle)</t>
  </si>
  <si>
    <t>Tích hợp phân quyền Granular RBAC, bảo vệ chống XSS/SQLi, caching Redis và cơ chế realtime/worker: Chuyển đổi giữa Compact View (nhiều dữ liệu) và Comfortable View</t>
  </si>
  <si>
    <t>WBS-SEARCH-0171</t>
  </si>
  <si>
    <t>[Tích Hợp &amp; Bảo Mật] Chế độ Sáng (Light Mode) chuẩn mực văn phòng trang nhã</t>
  </si>
  <si>
    <t>Tích hợp phân quyền Granular RBAC, bảo vệ chống XSS/SQLi, caching Redis và cơ chế realtime/worker: Màu nền trắng ngà dịu mắt, độ tương phản văn bản đạt chuẩn WCAG AA</t>
  </si>
  <si>
    <t>WBS-SEARCH-0172</t>
  </si>
  <si>
    <t>[Tích Hợp &amp; Bảo Mật] Chế độ Tối (Dark Mode) chuẩn doanh nhân sang trọng</t>
  </si>
  <si>
    <t>Tích hợp phân quyền Granular RBAC, bảo vệ chống XSS/SQLi, caching Redis và cơ chế realtime/worker: Nền đen tím sâu thẳm, giảm mỏi mắt ban đêm, tiết kiệm pin OLED</t>
  </si>
  <si>
    <t>WBS-SEARCH-0173</t>
  </si>
  <si>
    <t>[Tích Hợp &amp; Bảo Mật] Chế độ Tương Phản Cao (High Contrast) cho người lớn tuổi</t>
  </si>
  <si>
    <t>Tích hợp phân quyền Granular RBAC, bảo vệ chống XSS/SQLi, caching Redis và cơ chế realtime/worker: Đen trắng dứt khoát, viền thẻ nét đậm, loại bỏ hoàn toàn đổ bóng mờ</t>
  </si>
  <si>
    <t>WBS-SEARCH-0174</t>
  </si>
  <si>
    <t>[Tích Hợp &amp; Bảo Mật] Hiệu ứng đóng mở cửa (Door Transition) khi chuyển Theme</t>
  </si>
  <si>
    <t>Tích hợp phân quyền Granular RBAC, bảo vệ chống XSS/SQLi, caching Redis và cơ chế realtime/worker: Cánh cửa trượt đóng lại 600ms, đổi màu theme phía sau rồi mở ra</t>
  </si>
  <si>
    <t>WBS-SEARCH-0175</t>
  </si>
  <si>
    <t>[Tích Hợp &amp; Bảo Mật] Tự động đồng bộ chế độ màu theo hệ điều hành (Auto System Sync)</t>
  </si>
  <si>
    <t>Tích hợp phân quyền Granular RBAC, bảo vệ chống XSS/SQLi, caching Redis và cơ chế realtime/worker: Lắng nghe media query prefers-color-scheme để tự đổi theme mượt mà</t>
  </si>
  <si>
    <t>WBS-SEARCH-0176</t>
  </si>
  <si>
    <t>[Tích Hợp &amp; Bảo Mật] Tùy chỉnh kích thước chữ (Font Size Accessibility Scaling)</t>
  </si>
  <si>
    <t>Tích hợp phân quyền Granular RBAC, bảo vệ chống XSS/SQLi, caching Redis và cơ chế realtime/worker: Hỗ trợ phóng to cỡ chữ 110%, 125%, 150% cho người có thị lực yếu</t>
  </si>
  <si>
    <t>WBS-SEARCH-0177</t>
  </si>
  <si>
    <t>[Tích Hợp &amp; Bảo Mật] Bảng màu điểm nhấn thương hiệu (Brand Accent Color Picker)</t>
  </si>
  <si>
    <t>Tích hợp phân quyền Granular RBAC, bảo vệ chống XSS/SQLi, caching Redis và cơ chế realtime/worker: Cho phép tùy chọn màu chủ đạo: Vàng Hoàng Gia, Xanh Navy, Ngọc Lục</t>
  </si>
  <si>
    <t>WBS-SEARCH-0178</t>
  </si>
  <si>
    <t>[Tích Hợp &amp; Bảo Mật] Lưu trạng thái giao diện người dùng trên đám mây (User UI State)</t>
  </si>
  <si>
    <t>Tích hợp phân quyền Granular RBAC, bảo vệ chống XSS/SQLi, caching Redis và cơ chế realtime/worker: Đồng bộ cấu hình theme, độ rộng cột bảng giữa Mobile và Desktop</t>
  </si>
  <si>
    <t>WBS-SEARCH-0179</t>
  </si>
  <si>
    <t>[Tích Hợp &amp; Bảo Mật] Tối ưu hóa Skeleton Loader khi tải dữ liệu trang tìm kiếm</t>
  </si>
  <si>
    <t>Tích hợp phân quyền Granular RBAC, bảo vệ chống XSS/SQLi, caching Redis và cơ chế realtime/worker: Hiển thị khung xương chuyển động tạo cảm giác ứng dụng phản hồi ngay</t>
  </si>
  <si>
    <t>WBS-SEARCH-0180</t>
  </si>
  <si>
    <t>[Tích Hợp &amp; Bảo Mật] Trang thông báo kết quả tìm kiếm rỗng (Empty State UX)</t>
  </si>
  <si>
    <t>Tích hợp phân quyền Granular RBAC, bảo vệ chống XSS/SQLi, caching Redis và cơ chế realtime/worker: Gợi ý từ khóa liên quan, nút xóa nhanh bộ lọc khi không có dữ liệu</t>
  </si>
  <si>
    <t>WBS-SEARCH-0181</t>
  </si>
  <si>
    <t>Tìm Kiếm &amp; Giao Diện Người Dùng [Giai đoạn: Kiểm Thử Tự Động Toàn Diện E2E, Hiệu Năng &amp; Nghiệm Thu UAT]</t>
  </si>
  <si>
    <t>[Kiểm Thử E2E &amp; UAT] Tìm kiếm nhanh thời gian thực (Debounced Quick Search)</t>
  </si>
  <si>
    <t>Kiểm thử hộp đen/hộp trắng toàn diện, kiểm tra tải đồng thời, đối soát dữ liệu và nghiệm thu Ban Lãnh Đạo: Tự động gọi API sau 300ms dừng gõ phím, hiển thị kết quả gợi ý</t>
  </si>
  <si>
    <t>WBS-SEARCH-0182</t>
  </si>
  <si>
    <t>[Kiểm Thử E2E &amp; UAT] Tìm kiếm toàn văn tiếng Việt không dấu (Full-text Search)</t>
  </si>
  <si>
    <t>Kiểm thử hộp đen/hộp trắng toàn diện, kiểm tra tải đồng thời, đối soát dữ liệu và nghiệm thu Ban Lãnh Đạo: Hỗ trợ tìm kiếm danh bạ, tin tức, văn kiện bỏ qua dấu tiếng Việt</t>
  </si>
  <si>
    <t>WBS-SEARCH-0183</t>
  </si>
  <si>
    <t>[Kiểm Thử E2E &amp; UAT] Phân trang truyền thống (Offset Pagination) kèm chọn số dòng</t>
  </si>
  <si>
    <t>Kiểm thử hộp đen/hộp trắng toàn diện, kiểm tra tải đồng thời, đối soát dữ liệu và nghiệm thu Ban Lãnh Đạo: Hỗ trợ tùy chọn 10, 25, 50, 100 dòng mỗi trang, nhảy trang nhanh</t>
  </si>
  <si>
    <t>WBS-SEARCH-0184</t>
  </si>
  <si>
    <t>[Kiểm Thử E2E &amp; UAT] Phân trang con trỏ (Cursor-based Pagination) cho Feed dữ liệu lớn</t>
  </si>
  <si>
    <t>Kiểm thử hộp đen/hộp trắng toàn diện, kiểm tra tải đồng thời, đối soát dữ liệu và nghiệm thu Ban Lãnh Đạo: Tối ưu hóa hiệu năng bảng tin hàng triệu bài viết, không bị lệch trang</t>
  </si>
  <si>
    <t>WBS-SEARCH-0185</t>
  </si>
  <si>
    <t>[Kiểm Thử E2E &amp; UAT] Cuộn vô tận (Infinite Scroll) tự động tải trang tiếp theo</t>
  </si>
  <si>
    <t>Kiểm thử hộp đen/hộp trắng toàn diện, kiểm tra tải đồng thời, đối soát dữ liệu và nghiệm thu Ban Lãnh Đạo: Sử dụng Intersection Observer API phát hiện đáy màn hình để fetch</t>
  </si>
  <si>
    <t>WBS-SEARCH-0186</t>
  </si>
  <si>
    <t>[Kiểm Thử E2E &amp; UAT] Bộ lọc đa tiêu chí (Multi-criteria Faceted Filter)</t>
  </si>
  <si>
    <t>Kiểm thử hộp đen/hộp trắng toàn diện, kiểm tra tải đồng thời, đối soát dữ liệu và nghiệm thu Ban Lãnh Đạo: Lọc kết hợp: Ngành nghề + Khu vực + Hạng hội viên + Trạng thái phí</t>
  </si>
  <si>
    <t>WBS-SEARCH-0187</t>
  </si>
  <si>
    <t>[Kiểm Thử E2E &amp; UAT] Lưu bộ lọc tìm kiếm ưa thích (Saved Custom Filters)</t>
  </si>
  <si>
    <t>Kiểm thử hộp đen/hộp trắng toàn diện, kiểm tra tải đồng thời, đối soát dữ liệu và nghiệm thu Ban Lãnh Đạo: Cho phép cán bộ quản lý lưu cấu hình bộ lọc để truy cập nhanh 1-click</t>
  </si>
  <si>
    <t>WBS-SEARCH-0188</t>
  </si>
  <si>
    <t>[Kiểm Thử E2E &amp; UAT] Sắp xếp cột linh hoạt đa cấp độ (Multi-column Sorting)</t>
  </si>
  <si>
    <t>Kiểm thử hộp đen/hộp trắng toàn diện, kiểm tra tải đồng thời, đối soát dữ liệu và nghiệm thu Ban Lãnh Đạo: Click tiêu đề cột để đảo chiều Tăng/Giảm (ASC/DESC), giữ trạng thái</t>
  </si>
  <si>
    <t>WBS-SEARCH-0189</t>
  </si>
  <si>
    <t>[Kiểm Thử E2E &amp; UAT] Tùy biến hiển thị cột trong bảng dữ liệu (Column Visibility)</t>
  </si>
  <si>
    <t>Kiểm thử hộp đen/hộp trắng toàn diện, kiểm tra tải đồng thời, đối soát dữ liệu và nghiệm thu Ban Lãnh Đạo: Bật/tắt các cột dữ liệu tùy theo nhu cầu xem, lưu vào LocalStorage</t>
  </si>
  <si>
    <t>WBS-SEARCH-0190</t>
  </si>
  <si>
    <t>[Kiểm Thử E2E &amp; UAT] Chế độ xem bảng dữ liệu Cô Đọng / Thoải Mái (Density Toggle)</t>
  </si>
  <si>
    <t>Kiểm thử hộp đen/hộp trắng toàn diện, kiểm tra tải đồng thời, đối soát dữ liệu và nghiệm thu Ban Lãnh Đạo: Chuyển đổi giữa Compact View (nhiều dữ liệu) và Comfortable View</t>
  </si>
  <si>
    <t>WBS-SEARCH-0191</t>
  </si>
  <si>
    <t>[Kiểm Thử E2E &amp; UAT] Chế độ Sáng (Light Mode) chuẩn mực văn phòng trang nhã</t>
  </si>
  <si>
    <t>Kiểm thử hộp đen/hộp trắng toàn diện, kiểm tra tải đồng thời, đối soát dữ liệu và nghiệm thu Ban Lãnh Đạo: Màu nền trắng ngà dịu mắt, độ tương phản văn bản đạt chuẩn WCAG AA</t>
  </si>
  <si>
    <t>WBS-SEARCH-0192</t>
  </si>
  <si>
    <t>[Kiểm Thử E2E &amp; UAT] Chế độ Tối (Dark Mode) chuẩn doanh nhân sang trọng</t>
  </si>
  <si>
    <t>Kiểm thử hộp đen/hộp trắng toàn diện, kiểm tra tải đồng thời, đối soát dữ liệu và nghiệm thu Ban Lãnh Đạo: Nền đen tím sâu thẳm, giảm mỏi mắt ban đêm, tiết kiệm pin OLED</t>
  </si>
  <si>
    <t>WBS-SEARCH-0193</t>
  </si>
  <si>
    <t>[Kiểm Thử E2E &amp; UAT] Chế độ Tương Phản Cao (High Contrast) cho người lớn tuổi</t>
  </si>
  <si>
    <t>Kiểm thử hộp đen/hộp trắng toàn diện, kiểm tra tải đồng thời, đối soát dữ liệu và nghiệm thu Ban Lãnh Đạo: Đen trắng dứt khoát, viền thẻ nét đậm, loại bỏ hoàn toàn đổ bóng mờ</t>
  </si>
  <si>
    <t>WBS-SEARCH-0194</t>
  </si>
  <si>
    <t>[Kiểm Thử E2E &amp; UAT] Hiệu ứng đóng mở cửa (Door Transition) khi chuyển Theme</t>
  </si>
  <si>
    <t>Kiểm thử hộp đen/hộp trắng toàn diện, kiểm tra tải đồng thời, đối soát dữ liệu và nghiệm thu Ban Lãnh Đạo: Cánh cửa trượt đóng lại 600ms, đổi màu theme phía sau rồi mở ra</t>
  </si>
  <si>
    <t>WBS-SEARCH-0195</t>
  </si>
  <si>
    <t>[Kiểm Thử E2E &amp; UAT] Tự động đồng bộ chế độ màu theo hệ điều hành (Auto System Sync)</t>
  </si>
  <si>
    <t>Kiểm thử hộp đen/hộp trắng toàn diện, kiểm tra tải đồng thời, đối soát dữ liệu và nghiệm thu Ban Lãnh Đạo: Lắng nghe media query prefers-color-scheme để tự đổi theme mượt mà</t>
  </si>
  <si>
    <t>WBS-SEARCH-0196</t>
  </si>
  <si>
    <t>[Kiểm Thử E2E &amp; UAT] Tùy chỉnh kích thước chữ (Font Size Accessibility Scaling)</t>
  </si>
  <si>
    <t>Kiểm thử hộp đen/hộp trắng toàn diện, kiểm tra tải đồng thời, đối soát dữ liệu và nghiệm thu Ban Lãnh Đạo: Hỗ trợ phóng to cỡ chữ 110%, 125%, 150% cho người có thị lực yếu</t>
  </si>
  <si>
    <t>WBS-SEARCH-0197</t>
  </si>
  <si>
    <t>[Kiểm Thử E2E &amp; UAT] Bảng màu điểm nhấn thương hiệu (Brand Accent Color Picker)</t>
  </si>
  <si>
    <t>Kiểm thử hộp đen/hộp trắng toàn diện, kiểm tra tải đồng thời, đối soát dữ liệu và nghiệm thu Ban Lãnh Đạo: Cho phép tùy chọn màu chủ đạo: Vàng Hoàng Gia, Xanh Navy, Ngọc Lục</t>
  </si>
  <si>
    <t>WBS-SEARCH-0198</t>
  </si>
  <si>
    <t>[Kiểm Thử E2E &amp; UAT] Lưu trạng thái giao diện người dùng trên đám mây (User UI State)</t>
  </si>
  <si>
    <t>Kiểm thử hộp đen/hộp trắng toàn diện, kiểm tra tải đồng thời, đối soát dữ liệu và nghiệm thu Ban Lãnh Đạo: Đồng bộ cấu hình theme, độ rộng cột bảng giữa Mobile và Desktop</t>
  </si>
  <si>
    <t>WBS-SEARCH-0199</t>
  </si>
  <si>
    <t>[Kiểm Thử E2E &amp; UAT] Tối ưu hóa Skeleton Loader khi tải dữ liệu trang tìm kiếm</t>
  </si>
  <si>
    <t>Kiểm thử hộp đen/hộp trắng toàn diện, kiểm tra tải đồng thời, đối soát dữ liệu và nghiệm thu Ban Lãnh Đạo: Hiển thị khung xương chuyển động tạo cảm giác ứng dụng phản hồi ngay</t>
  </si>
  <si>
    <t>WBS-SEARCH-0200</t>
  </si>
  <si>
    <t>[Kiểm Thử E2E &amp; UAT] Trang thông báo kết quả tìm kiếm rỗng (Empty State UX)</t>
  </si>
  <si>
    <t>Kiểm thử hộp đen/hộp trắng toàn diện, kiểm tra tải đồng thời, đối soát dữ liệu và nghiệm thu Ban Lãnh Đạo: Gợi ý từ khóa liên quan, nút xóa nhanh bộ lọc khi không có dữ liệu</t>
  </si>
  <si>
    <t>VIONE MASTER WBS: MẠNG LƯỚI KẾT NỐI &amp; DANH BẠ DOANH NHÂN B2B</t>
  </si>
  <si>
    <t>WBS-NETWORK-0201</t>
  </si>
  <si>
    <t>Mạng Lưới Doanh Nhân &amp; Đối Tác [Giai đoạn: Khởi Tạo, Phân Tích Nghiệp Vụ &amp; Mô Hình Dữ Liệu]</t>
  </si>
  <si>
    <t>[Kiến Trúc &amp; Schema] Gửi lời mời kết nối kinh doanh (Send Connection Request)</t>
  </si>
  <si>
    <t>Phân tích yêu cầu nghiệp vụ, thiết kế bảng dữ liệu CSDL PostgreSQL, đặc tả API RESTful và luồng nghiệp vụ chi tiết cho: Kèm lời chào cá nhân hóa và mục tiêu hợp tác thương mại cụ thể</t>
  </si>
  <si>
    <t>/network/connect</t>
  </si>
  <si>
    <t>Business Connection Model</t>
  </si>
  <si>
    <t>WBS-NETWORK-0202</t>
  </si>
  <si>
    <t>[Kiến Trúc &amp; Schema] Hủy yêu cầu kết nối đã gửi khi chưa được chấp nhận</t>
  </si>
  <si>
    <t>Phân tích yêu cầu nghiệp vụ, thiết kế bảng dữ liệu CSDL PostgreSQL, đặc tả API RESTful và luồng nghiệp vụ chi tiết cho: Xóa lời mời khỏi hàng đợi đối tác, giải phóng trạng thái kết nối</t>
  </si>
  <si>
    <t>/network/cancel-request</t>
  </si>
  <si>
    <t>Pending Status Revocation</t>
  </si>
  <si>
    <t>WBS-NETWORK-0203</t>
  </si>
  <si>
    <t>[Kiến Trúc &amp; Schema] Chấp nhận lời mời kết nối đối tác kinh doanh (Accept Connection)</t>
  </si>
  <si>
    <t>Phân tích yêu cầu nghiệp vụ, thiết kế bảng dữ liệu CSDL PostgreSQL, đặc tả API RESTful và luồng nghiệp vụ chi tiết cho: Kích hoạt quan hệ 2 chiều, mở quyền xem số điện thoại và nhắn tin</t>
  </si>
  <si>
    <t>/network/accept-request</t>
  </si>
  <si>
    <t>Mutual Access Authorization</t>
  </si>
  <si>
    <t>WBS-NETWORK-0204</t>
  </si>
  <si>
    <t>[Kiến Trúc &amp; Schema] Từ chối lời mời kết nối kèm thông báo lịch sự văn phong ngoại giao</t>
  </si>
  <si>
    <t>Phân tích yêu cầu nghiệp vụ, thiết kế bảng dữ liệu CSDL PostgreSQL, đặc tả API RESTful và luồng nghiệp vụ chi tiết cho: Chuyển trạng thái declined, không gửi thông báo tiêu cực cho đối phương</t>
  </si>
  <si>
    <t>/network/decline-request</t>
  </si>
  <si>
    <t>Silent Decline Architecture</t>
  </si>
  <si>
    <t>WBS-NETWORK-0205</t>
  </si>
  <si>
    <t>[Kiến Trúc &amp; Schema] Hủy kết nối đối tác khi không còn nhu cầu giao thương (Remove)</t>
  </si>
  <si>
    <t>Phân tích yêu cầu nghiệp vụ, thiết kế bảng dữ liệu CSDL PostgreSQL, đặc tả API RESTful và luồng nghiệp vụ chi tiết cho: Thu hồi quyền xem số điện thoại cá nhân, giữ lại lịch sử giao dịch</t>
  </si>
  <si>
    <t>/network/disconnect</t>
  </si>
  <si>
    <t>Relationship Dissolution</t>
  </si>
  <si>
    <t>WBS-NETWORK-0206</t>
  </si>
  <si>
    <t>[Kiến Trúc &amp; Schema] Chặn người dùng (Block User) khi có hành vi spam thương mại</t>
  </si>
  <si>
    <t>Phân tích yêu cầu nghiệp vụ, thiết kế bảng dữ liệu CSDL PostgreSQL, đặc tả API RESTful và luồng nghiệp vụ chi tiết cho: Ẩn hoàn toàn bài viết, tin nhắn và thông tin cá nhân của người bị chặn</t>
  </si>
  <si>
    <t>/network/block-user</t>
  </si>
  <si>
    <t>Bi-directional Exclusion Filter</t>
  </si>
  <si>
    <t>WBS-NETWORK-0207</t>
  </si>
  <si>
    <t>[Kiến Trúc &amp; Schema] Mở chặn người dùng (Unblock User) trong màn hình quản lý bảo mật</t>
  </si>
  <si>
    <t>Phân tích yêu cầu nghiệp vụ, thiết kế bảng dữ liệu CSDL PostgreSQL, đặc tả API RESTful và luồng nghiệp vụ chi tiết cho: Cho phép khôi phục hiển thị và tìm kiếm lại người dùng trong danh bạ</t>
  </si>
  <si>
    <t>/settings/blocked-users</t>
  </si>
  <si>
    <t>Security Settings Unblock</t>
  </si>
  <si>
    <t>WBS-NETWORK-0208</t>
  </si>
  <si>
    <t>[Kiến Trúc &amp; Schema] Báo cáo vi phạm (Report User) hành vi giả mạo hoặc lừa đảo</t>
  </si>
  <si>
    <t>Phân tích yêu cầu nghiệp vụ, thiết kế bảng dữ liệu CSDL PostgreSQL, đặc tả API RESTful và luồng nghiệp vụ chi tiết cho: Gửi báo cáo kèm bằng chứng ảnh chụp màn hình tới Ban Kiểm Tra</t>
  </si>
  <si>
    <t>/network/report-user</t>
  </si>
  <si>
    <t>Disciplinary Review Queue</t>
  </si>
  <si>
    <t>WBS-NETWORK-0209</t>
  </si>
  <si>
    <t>[Kiến Trúc &amp; Schema] Đề xuất mối quan hệ chung (Mutual Connections Finder)</t>
  </si>
  <si>
    <t>Phân tích yêu cầu nghiệp vụ, thiết kế bảng dữ liệu CSDL PostgreSQL, đặc tả API RESTful và luồng nghiệp vụ chi tiết cho: Hiển thị số lượng bạn chung giữa 2 doanh nhân để tăng độ tin cậy</t>
  </si>
  <si>
    <t>/network/mutual</t>
  </si>
  <si>
    <t>Graph Network Query</t>
  </si>
  <si>
    <t>WBS-NETWORK-0210</t>
  </si>
  <si>
    <t>[Kiến Trúc &amp; Schema] Gắn thẻ ghi chú quan hệ đối tác (Private Notes &amp; Tags)</t>
  </si>
  <si>
    <t>Phân tích yêu cầu nghiệp vụ, thiết kế bảng dữ liệu CSDL PostgreSQL, đặc tả API RESTful và luồng nghiệp vụ chi tiết cho: Ghi chép mật về thói quen, sở thích, ngày sinh nhật, chỉ mình xem được</t>
  </si>
  <si>
    <t>/network/contact-notes</t>
  </si>
  <si>
    <t>Encrypted Private Notes</t>
  </si>
  <si>
    <t>WBS-NETWORK-0211</t>
  </si>
  <si>
    <t>[Kiến Trúc &amp; Schema] Trao thẻ danh thiếp điện tử 1 chạm NFC (Tap to Connect)</t>
  </si>
  <si>
    <t>Phân tích yêu cầu nghiệp vụ, thiết kế bảng dữ liệu CSDL PostgreSQL, đặc tả API RESTful và luồng nghiệp vụ chi tiết cho: Truyền thông tin thẻ qua sóng NFC tần số 13.56MHz không cần cài app</t>
  </si>
  <si>
    <t>/nfc/tap-share</t>
  </si>
  <si>
    <t>Web NFC API Interop</t>
  </si>
  <si>
    <t>WBS-NETWORK-0212</t>
  </si>
  <si>
    <t>[Kiến Trúc &amp; Schema] Sinh mã QR cá nhân hóa động cho danh thiếp điện tử</t>
  </si>
  <si>
    <t>Phân tích yêu cầu nghiệp vụ, thiết kế bảng dữ liệu CSDL PostgreSQL, đặc tả API RESTful và luồng nghiệp vụ chi tiết cho: Mã QR chứa link slug độc bản, có logo hiệp hội ở chính giữa</t>
  </si>
  <si>
    <t>/cards/my-qr</t>
  </si>
  <si>
    <t>Canvas QR Generator</t>
  </si>
  <si>
    <t>WBS-NETWORK-0213</t>
  </si>
  <si>
    <t>[Kiến Trúc &amp; Schema] Xuất tệp danh bạ điện tử vCard .vcf lưu vào máy điện thoại</t>
  </si>
  <si>
    <t>Phân tích yêu cầu nghiệp vụ, thiết kế bảng dữ liệu CSDL PostgreSQL, đặc tả API RESTful và luồng nghiệp vụ chi tiết cho: Tạo file chuẩn RFC 6350 chứa đầy đủ họ tên, công ty, SĐT, avatar</t>
  </si>
  <si>
    <t>/cards/export-vcf</t>
  </si>
  <si>
    <t>vCard 4.0 Standard</t>
  </si>
  <si>
    <t>WBS-NETWORK-0214</t>
  </si>
  <si>
    <t>[Kiến Trúc &amp; Schema] Đồng bộ thẻ thành viên vào ví điện tử Apple Wallet (.pkpass)</t>
  </si>
  <si>
    <t>Phân tích yêu cầu nghiệp vụ, thiết kế bảng dữ liệu CSDL PostgreSQL, đặc tả API RESTful và luồng nghiệp vụ chi tiết cho: Ký số tệp pass bằng chứng thư số Apple Developer Certificate</t>
  </si>
  <si>
    <t>/cards/apple-wallet</t>
  </si>
  <si>
    <t>Apple PassKit Signing</t>
  </si>
  <si>
    <t>WBS-NETWORK-0215</t>
  </si>
  <si>
    <t>[Kiến Trúc &amp; Schema] Đồng bộ thẻ thành viên vào ví Google Wallet trên Android</t>
  </si>
  <si>
    <t>Phân tích yêu cầu nghiệp vụ, thiết kế bảng dữ liệu CSDL PostgreSQL, đặc tả API RESTful và luồng nghiệp vụ chi tiết cho: Tạo Generic Pass qua Google Wallet REST API và hiển thị nút Lưu</t>
  </si>
  <si>
    <t>/cards/google-wallet</t>
  </si>
  <si>
    <t>Google Wallet REST API</t>
  </si>
  <si>
    <t>WBS-NETWORK-0216</t>
  </si>
  <si>
    <t>[Kiến Trúc &amp; Schema] Thống kê số lượt xem thẻ và tỷ lệ lưu danh bạ (Card Analytics)</t>
  </si>
  <si>
    <t>Phân tích yêu cầu nghiệp vụ, thiết kế bảng dữ liệu CSDL PostgreSQL, đặc tả API RESTful và luồng nghiệp vụ chi tiết cho: Biểu đồ lượt quét NFC, quét QR, lưu vCard theo từng mốc thời gian</t>
  </si>
  <si>
    <t>/cards/analytics</t>
  </si>
  <si>
    <t>Metrics Aggregator</t>
  </si>
  <si>
    <t>WBS-NETWORK-0217</t>
  </si>
  <si>
    <t>[Kiến Trúc &amp; Schema] Phân nhóm danh bạ đối tác theo ngành nghề và mức độ ưu tiên</t>
  </si>
  <si>
    <t>Phân tích yêu cầu nghiệp vụ, thiết kế bảng dữ liệu CSDL PostgreSQL, đặc tả API RESTful và luồng nghiệp vụ chi tiết cho: Tạo nhóm: Khách VIP, Đối tác chiến lược, Nhà cung ứng thân thiết</t>
  </si>
  <si>
    <t>/network/groups</t>
  </si>
  <si>
    <t>Contact Grouping Model</t>
  </si>
  <si>
    <t>WBS-NETWORK-0218</t>
  </si>
  <si>
    <t>[Kiến Trúc &amp; Schema] Gửi tin nhắn chào mừng tự động khi kết nối thành công</t>
  </si>
  <si>
    <t>Phân tích yêu cầu nghiệp vụ, thiết kế bảng dữ liệu CSDL PostgreSQL, đặc tả API RESTful và luồng nghiệp vụ chi tiết cho: Hệ thống tự động gửi tin nhắn chào mừng kèm hồ sơ năng lực PDF</t>
  </si>
  <si>
    <t>/network/auto-welcome</t>
  </si>
  <si>
    <t>Auto Greeting Event</t>
  </si>
  <si>
    <t>WBS-NETWORK-0219</t>
  </si>
  <si>
    <t>[Kiến Trúc &amp; Schema] Tìm kiếm đối tác xung quanh vị trí hiện tại (Radar Proximity)</t>
  </si>
  <si>
    <t>Phân tích yêu cầu nghiệp vụ, thiết kế bảng dữ liệu CSDL PostgreSQL, đặc tả API RESTful và luồng nghiệp vụ chi tiết cho: Sử dụng GPS tìm các hội viên đang có mặt trong bán kính 1km</t>
  </si>
  <si>
    <t>/network/radar</t>
  </si>
  <si>
    <t>PostGIS Geolocation Distance</t>
  </si>
  <si>
    <t>WBS-NETWORK-0220</t>
  </si>
  <si>
    <t>[Kiến Trúc &amp; Schema] Xuất danh bạ đối tác kết nối ra file Excel định dạng chuẩn</t>
  </si>
  <si>
    <t>Phân tích yêu cầu nghiệp vụ, thiết kế bảng dữ liệu CSDL PostgreSQL, đặc tả API RESTful và luồng nghiệp vụ chi tiết cho: Xuất danh sách gồm họ tên, công ty, email, số điện thoại, ngày kết nối</t>
  </si>
  <si>
    <t>/network/export-excel</t>
  </si>
  <si>
    <t>ExcelJS Export Engine</t>
  </si>
  <si>
    <t>WBS-NETWORK-0221</t>
  </si>
  <si>
    <t>Mạng Lưới Doanh Nhân &amp; Đối Tác [Giai đoạn: Xây Dựng Giao Diện Người Dùng Frontend (Desktop &amp; Mobile)]</t>
  </si>
  <si>
    <t>[Giao Diện Frontend] Gửi lời mời kết nối kinh doanh (Send Connection Request)</t>
  </si>
  <si>
    <t>Phát triển giao diện React/Tailwind, tối ưu hóa responsive di động, xử lý trạng thái loading/error/empty state: Kèm lời chào cá nhân hóa và mục tiêu hợp tác thương mại cụ thể</t>
  </si>
  <si>
    <t>WBS-NETWORK-0222</t>
  </si>
  <si>
    <t>[Giao Diện Frontend] Hủy yêu cầu kết nối đã gửi khi chưa được chấp nhận</t>
  </si>
  <si>
    <t>Phát triển giao diện React/Tailwind, tối ưu hóa responsive di động, xử lý trạng thái loading/error/empty state: Xóa lời mời khỏi hàng đợi đối tác, giải phóng trạng thái kết nối</t>
  </si>
  <si>
    <t>WBS-NETWORK-0223</t>
  </si>
  <si>
    <t>[Giao Diện Frontend] Chấp nhận lời mời kết nối đối tác kinh doanh (Accept Connection)</t>
  </si>
  <si>
    <t>Phát triển giao diện React/Tailwind, tối ưu hóa responsive di động, xử lý trạng thái loading/error/empty state: Kích hoạt quan hệ 2 chiều, mở quyền xem số điện thoại và nhắn tin</t>
  </si>
  <si>
    <t>WBS-NETWORK-0224</t>
  </si>
  <si>
    <t>[Giao Diện Frontend] Từ chối lời mời kết nối kèm thông báo lịch sự văn phong ngoại giao</t>
  </si>
  <si>
    <t>Phát triển giao diện React/Tailwind, tối ưu hóa responsive di động, xử lý trạng thái loading/error/empty state: Chuyển trạng thái declined, không gửi thông báo tiêu cực cho đối phương</t>
  </si>
  <si>
    <t>WBS-NETWORK-0225</t>
  </si>
  <si>
    <t>[Giao Diện Frontend] Hủy kết nối đối tác khi không còn nhu cầu giao thương (Remove)</t>
  </si>
  <si>
    <t>Phát triển giao diện React/Tailwind, tối ưu hóa responsive di động, xử lý trạng thái loading/error/empty state: Thu hồi quyền xem số điện thoại cá nhân, giữ lại lịch sử giao dịch</t>
  </si>
  <si>
    <t>WBS-NETWORK-0226</t>
  </si>
  <si>
    <t>[Giao Diện Frontend] Chặn người dùng (Block User) khi có hành vi spam thương mại</t>
  </si>
  <si>
    <t>Phát triển giao diện React/Tailwind, tối ưu hóa responsive di động, xử lý trạng thái loading/error/empty state: Ẩn hoàn toàn bài viết, tin nhắn và thông tin cá nhân của người bị chặn</t>
  </si>
  <si>
    <t>WBS-NETWORK-0227</t>
  </si>
  <si>
    <t>[Giao Diện Frontend] Mở chặn người dùng (Unblock User) trong màn hình quản lý bảo mật</t>
  </si>
  <si>
    <t>Phát triển giao diện React/Tailwind, tối ưu hóa responsive di động, xử lý trạng thái loading/error/empty state: Cho phép khôi phục hiển thị và tìm kiếm lại người dùng trong danh bạ</t>
  </si>
  <si>
    <t>WBS-NETWORK-0228</t>
  </si>
  <si>
    <t>[Giao Diện Frontend] Báo cáo vi phạm (Report User) hành vi giả mạo hoặc lừa đảo</t>
  </si>
  <si>
    <t>Phát triển giao diện React/Tailwind, tối ưu hóa responsive di động, xử lý trạng thái loading/error/empty state: Gửi báo cáo kèm bằng chứng ảnh chụp màn hình tới Ban Kiểm Tra</t>
  </si>
  <si>
    <t>WBS-NETWORK-0229</t>
  </si>
  <si>
    <t>[Giao Diện Frontend] Đề xuất mối quan hệ chung (Mutual Connections Finder)</t>
  </si>
  <si>
    <t>Phát triển giao diện React/Tailwind, tối ưu hóa responsive di động, xử lý trạng thái loading/error/empty state: Hiển thị số lượng bạn chung giữa 2 doanh nhân để tăng độ tin cậy</t>
  </si>
  <si>
    <t>WBS-NETWORK-0230</t>
  </si>
  <si>
    <t>[Giao Diện Frontend] Gắn thẻ ghi chú quan hệ đối tác (Private Notes &amp; Tags)</t>
  </si>
  <si>
    <t>Phát triển giao diện React/Tailwind, tối ưu hóa responsive di động, xử lý trạng thái loading/error/empty state: Ghi chép mật về thói quen, sở thích, ngày sinh nhật, chỉ mình xem được</t>
  </si>
  <si>
    <t>WBS-NETWORK-0231</t>
  </si>
  <si>
    <t>[Giao Diện Frontend] Trao thẻ danh thiếp điện tử 1 chạm NFC (Tap to Connect)</t>
  </si>
  <si>
    <t>Phát triển giao diện React/Tailwind, tối ưu hóa responsive di động, xử lý trạng thái loading/error/empty state: Truyền thông tin thẻ qua sóng NFC tần số 13.56MHz không cần cài app</t>
  </si>
  <si>
    <t>WBS-NETWORK-0232</t>
  </si>
  <si>
    <t>[Giao Diện Frontend] Sinh mã QR cá nhân hóa động cho danh thiếp điện tử</t>
  </si>
  <si>
    <t>Phát triển giao diện React/Tailwind, tối ưu hóa responsive di động, xử lý trạng thái loading/error/empty state: Mã QR chứa link slug độc bản, có logo hiệp hội ở chính giữa</t>
  </si>
  <si>
    <t>WBS-NETWORK-0233</t>
  </si>
  <si>
    <t>[Giao Diện Frontend] Xuất tệp danh bạ điện tử vCard .vcf lưu vào máy điện thoại</t>
  </si>
  <si>
    <t>Phát triển giao diện React/Tailwind, tối ưu hóa responsive di động, xử lý trạng thái loading/error/empty state: Tạo file chuẩn RFC 6350 chứa đầy đủ họ tên, công ty, SĐT, avatar</t>
  </si>
  <si>
    <t>WBS-NETWORK-0234</t>
  </si>
  <si>
    <t>[Giao Diện Frontend] Đồng bộ thẻ thành viên vào ví điện tử Apple Wallet (.pkpass)</t>
  </si>
  <si>
    <t>Phát triển giao diện React/Tailwind, tối ưu hóa responsive di động, xử lý trạng thái loading/error/empty state: Ký số tệp pass bằng chứng thư số Apple Developer Certificate</t>
  </si>
  <si>
    <t>WBS-NETWORK-0235</t>
  </si>
  <si>
    <t>[Giao Diện Frontend] Đồng bộ thẻ thành viên vào ví Google Wallet trên Android</t>
  </si>
  <si>
    <t>Phát triển giao diện React/Tailwind, tối ưu hóa responsive di động, xử lý trạng thái loading/error/empty state: Tạo Generic Pass qua Google Wallet REST API và hiển thị nút Lưu</t>
  </si>
  <si>
    <t>WBS-NETWORK-0236</t>
  </si>
  <si>
    <t>[Giao Diện Frontend] Thống kê số lượt xem thẻ và tỷ lệ lưu danh bạ (Card Analytics)</t>
  </si>
  <si>
    <t>Phát triển giao diện React/Tailwind, tối ưu hóa responsive di động, xử lý trạng thái loading/error/empty state: Biểu đồ lượt quét NFC, quét QR, lưu vCard theo từng mốc thời gian</t>
  </si>
  <si>
    <t>WBS-NETWORK-0237</t>
  </si>
  <si>
    <t>[Giao Diện Frontend] Phân nhóm danh bạ đối tác theo ngành nghề và mức độ ưu tiên</t>
  </si>
  <si>
    <t>Phát triển giao diện React/Tailwind, tối ưu hóa responsive di động, xử lý trạng thái loading/error/empty state: Tạo nhóm: Khách VIP, Đối tác chiến lược, Nhà cung ứng thân thiết</t>
  </si>
  <si>
    <t>WBS-NETWORK-0238</t>
  </si>
  <si>
    <t>[Giao Diện Frontend] Gửi tin nhắn chào mừng tự động khi kết nối thành công</t>
  </si>
  <si>
    <t>Phát triển giao diện React/Tailwind, tối ưu hóa responsive di động, xử lý trạng thái loading/error/empty state: Hệ thống tự động gửi tin nhắn chào mừng kèm hồ sơ năng lực PDF</t>
  </si>
  <si>
    <t>WBS-NETWORK-0239</t>
  </si>
  <si>
    <t>[Giao Diện Frontend] Tìm kiếm đối tác xung quanh vị trí hiện tại (Radar Proximity)</t>
  </si>
  <si>
    <t>Phát triển giao diện React/Tailwind, tối ưu hóa responsive di động, xử lý trạng thái loading/error/empty state: Sử dụng GPS tìm các hội viên đang có mặt trong bán kính 1km</t>
  </si>
  <si>
    <t>WBS-NETWORK-0240</t>
  </si>
  <si>
    <t>[Giao Diện Frontend] Xuất danh bạ đối tác kết nối ra file Excel định dạng chuẩn</t>
  </si>
  <si>
    <t>Phát triển giao diện React/Tailwind, tối ưu hóa responsive di động, xử lý trạng thái loading/error/empty state: Xuất danh sách gồm họ tên, công ty, email, số điện thoại, ngày kết nối</t>
  </si>
  <si>
    <t>WBS-NETWORK-0241</t>
  </si>
  <si>
    <t>Mạng Lưới Doanh Nhân &amp; Đối Tác [Giai đoạn: Xử Lý Logic Nghiệp Vụ Backend API &amp; Cơ Sở Dữ Liệu CSDL]</t>
  </si>
  <si>
    <t>[Logic Backend CSDL] Gửi lời mời kết nối kinh doanh (Send Connection Request)</t>
  </si>
  <si>
    <t>Xây dựng NestJS Controller, Service, Prisma ORM, kiểm tra ràng buộc dữ liệu DTO và xử lý Transaction ACID: Kèm lời chào cá nhân hóa và mục tiêu hợp tác thương mại cụ thể</t>
  </si>
  <si>
    <t>WBS-NETWORK-0242</t>
  </si>
  <si>
    <t>[Logic Backend CSDL] Hủy yêu cầu kết nối đã gửi khi chưa được chấp nhận</t>
  </si>
  <si>
    <t>Xây dựng NestJS Controller, Service, Prisma ORM, kiểm tra ràng buộc dữ liệu DTO và xử lý Transaction ACID: Xóa lời mời khỏi hàng đợi đối tác, giải phóng trạng thái kết nối</t>
  </si>
  <si>
    <t>WBS-NETWORK-0243</t>
  </si>
  <si>
    <t>[Logic Backend CSDL] Chấp nhận lời mời kết nối đối tác kinh doanh (Accept Connection)</t>
  </si>
  <si>
    <t>Xây dựng NestJS Controller, Service, Prisma ORM, kiểm tra ràng buộc dữ liệu DTO và xử lý Transaction ACID: Kích hoạt quan hệ 2 chiều, mở quyền xem số điện thoại và nhắn tin</t>
  </si>
  <si>
    <t>WBS-NETWORK-0244</t>
  </si>
  <si>
    <t>[Logic Backend CSDL] Từ chối lời mời kết nối kèm thông báo lịch sự văn phong ngoại giao</t>
  </si>
  <si>
    <t>Xây dựng NestJS Controller, Service, Prisma ORM, kiểm tra ràng buộc dữ liệu DTO và xử lý Transaction ACID: Chuyển trạng thái declined, không gửi thông báo tiêu cực cho đối phương</t>
  </si>
  <si>
    <t>WBS-NETWORK-0245</t>
  </si>
  <si>
    <t>[Logic Backend CSDL] Hủy kết nối đối tác khi không còn nhu cầu giao thương (Remove)</t>
  </si>
  <si>
    <t>Xây dựng NestJS Controller, Service, Prisma ORM, kiểm tra ràng buộc dữ liệu DTO và xử lý Transaction ACID: Thu hồi quyền xem số điện thoại cá nhân, giữ lại lịch sử giao dịch</t>
  </si>
  <si>
    <t>WBS-NETWORK-0246</t>
  </si>
  <si>
    <t>[Logic Backend CSDL] Chặn người dùng (Block User) khi có hành vi spam thương mại</t>
  </si>
  <si>
    <t>Xây dựng NestJS Controller, Service, Prisma ORM, kiểm tra ràng buộc dữ liệu DTO và xử lý Transaction ACID: Ẩn hoàn toàn bài viết, tin nhắn và thông tin cá nhân của người bị chặn</t>
  </si>
  <si>
    <t>WBS-NETWORK-0247</t>
  </si>
  <si>
    <t>[Logic Backend CSDL] Mở chặn người dùng (Unblock User) trong màn hình quản lý bảo mật</t>
  </si>
  <si>
    <t>Xây dựng NestJS Controller, Service, Prisma ORM, kiểm tra ràng buộc dữ liệu DTO và xử lý Transaction ACID: Cho phép khôi phục hiển thị và tìm kiếm lại người dùng trong danh bạ</t>
  </si>
  <si>
    <t>WBS-NETWORK-0248</t>
  </si>
  <si>
    <t>[Logic Backend CSDL] Báo cáo vi phạm (Report User) hành vi giả mạo hoặc lừa đảo</t>
  </si>
  <si>
    <t>Xây dựng NestJS Controller, Service, Prisma ORM, kiểm tra ràng buộc dữ liệu DTO và xử lý Transaction ACID: Gửi báo cáo kèm bằng chứng ảnh chụp màn hình tới Ban Kiểm Tra</t>
  </si>
  <si>
    <t>WBS-NETWORK-0249</t>
  </si>
  <si>
    <t>[Logic Backend CSDL] Đề xuất mối quan hệ chung (Mutual Connections Finder)</t>
  </si>
  <si>
    <t>Xây dựng NestJS Controller, Service, Prisma ORM, kiểm tra ràng buộc dữ liệu DTO và xử lý Transaction ACID: Hiển thị số lượng bạn chung giữa 2 doanh nhân để tăng độ tin cậy</t>
  </si>
  <si>
    <t>WBS-NETWORK-0250</t>
  </si>
  <si>
    <t>[Logic Backend CSDL] Gắn thẻ ghi chú quan hệ đối tác (Private Notes &amp; Tags)</t>
  </si>
  <si>
    <t>Xây dựng NestJS Controller, Service, Prisma ORM, kiểm tra ràng buộc dữ liệu DTO và xử lý Transaction ACID: Ghi chép mật về thói quen, sở thích, ngày sinh nhật, chỉ mình xem được</t>
  </si>
  <si>
    <t>WBS-NETWORK-0251</t>
  </si>
  <si>
    <t>[Logic Backend CSDL] Trao thẻ danh thiếp điện tử 1 chạm NFC (Tap to Connect)</t>
  </si>
  <si>
    <t>Xây dựng NestJS Controller, Service, Prisma ORM, kiểm tra ràng buộc dữ liệu DTO và xử lý Transaction ACID: Truyền thông tin thẻ qua sóng NFC tần số 13.56MHz không cần cài app</t>
  </si>
  <si>
    <t>WBS-NETWORK-0252</t>
  </si>
  <si>
    <t>[Logic Backend CSDL] Sinh mã QR cá nhân hóa động cho danh thiếp điện tử</t>
  </si>
  <si>
    <t>Xây dựng NestJS Controller, Service, Prisma ORM, kiểm tra ràng buộc dữ liệu DTO và xử lý Transaction ACID: Mã QR chứa link slug độc bản, có logo hiệp hội ở chính giữa</t>
  </si>
  <si>
    <t>WBS-NETWORK-0253</t>
  </si>
  <si>
    <t>[Logic Backend CSDL] Xuất tệp danh bạ điện tử vCard .vcf lưu vào máy điện thoại</t>
  </si>
  <si>
    <t>Xây dựng NestJS Controller, Service, Prisma ORM, kiểm tra ràng buộc dữ liệu DTO và xử lý Transaction ACID: Tạo file chuẩn RFC 6350 chứa đầy đủ họ tên, công ty, SĐT, avatar</t>
  </si>
  <si>
    <t>WBS-NETWORK-0254</t>
  </si>
  <si>
    <t>[Logic Backend CSDL] Đồng bộ thẻ thành viên vào ví điện tử Apple Wallet (.pkpass)</t>
  </si>
  <si>
    <t>Xây dựng NestJS Controller, Service, Prisma ORM, kiểm tra ràng buộc dữ liệu DTO và xử lý Transaction ACID: Ký số tệp pass bằng chứng thư số Apple Developer Certificate</t>
  </si>
  <si>
    <t>WBS-NETWORK-0255</t>
  </si>
  <si>
    <t>[Logic Backend CSDL] Đồng bộ thẻ thành viên vào ví Google Wallet trên Android</t>
  </si>
  <si>
    <t>Xây dựng NestJS Controller, Service, Prisma ORM, kiểm tra ràng buộc dữ liệu DTO và xử lý Transaction ACID: Tạo Generic Pass qua Google Wallet REST API và hiển thị nút Lưu</t>
  </si>
  <si>
    <t>WBS-NETWORK-0256</t>
  </si>
  <si>
    <t>[Logic Backend CSDL] Thống kê số lượt xem thẻ và tỷ lệ lưu danh bạ (Card Analytics)</t>
  </si>
  <si>
    <t>Xây dựng NestJS Controller, Service, Prisma ORM, kiểm tra ràng buộc dữ liệu DTO và xử lý Transaction ACID: Biểu đồ lượt quét NFC, quét QR, lưu vCard theo từng mốc thời gian</t>
  </si>
  <si>
    <t>WBS-NETWORK-0257</t>
  </si>
  <si>
    <t>[Logic Backend CSDL] Phân nhóm danh bạ đối tác theo ngành nghề và mức độ ưu tiên</t>
  </si>
  <si>
    <t>Xây dựng NestJS Controller, Service, Prisma ORM, kiểm tra ràng buộc dữ liệu DTO và xử lý Transaction ACID: Tạo nhóm: Khách VIP, Đối tác chiến lược, Nhà cung ứng thân thiết</t>
  </si>
  <si>
    <t>WBS-NETWORK-0258</t>
  </si>
  <si>
    <t>[Logic Backend CSDL] Gửi tin nhắn chào mừng tự động khi kết nối thành công</t>
  </si>
  <si>
    <t>Xây dựng NestJS Controller, Service, Prisma ORM, kiểm tra ràng buộc dữ liệu DTO và xử lý Transaction ACID: Hệ thống tự động gửi tin nhắn chào mừng kèm hồ sơ năng lực PDF</t>
  </si>
  <si>
    <t>WBS-NETWORK-0259</t>
  </si>
  <si>
    <t>[Logic Backend CSDL] Tìm kiếm đối tác xung quanh vị trí hiện tại (Radar Proximity)</t>
  </si>
  <si>
    <t>Xây dựng NestJS Controller, Service, Prisma ORM, kiểm tra ràng buộc dữ liệu DTO và xử lý Transaction ACID: Sử dụng GPS tìm các hội viên đang có mặt trong bán kính 1km</t>
  </si>
  <si>
    <t>WBS-NETWORK-0260</t>
  </si>
  <si>
    <t>[Logic Backend CSDL] Xuất danh bạ đối tác kết nối ra file Excel định dạng chuẩn</t>
  </si>
  <si>
    <t>Xây dựng NestJS Controller, Service, Prisma ORM, kiểm tra ràng buộc dữ liệu DTO và xử lý Transaction ACID: Xuất danh sách gồm họ tên, công ty, email, số điện thoại, ngày kết nối</t>
  </si>
  <si>
    <t>WBS-NETWORK-0261</t>
  </si>
  <si>
    <t>Mạng Lưới Doanh Nhân &amp; Đối Tác [Giai đoạn: Tích Hợp Realtime, Hàng Đợi Worker &amp; Bảo Mật Granular RBAC]</t>
  </si>
  <si>
    <t>[Tích Hợp &amp; Bảo Mật] Gửi lời mời kết nối kinh doanh (Send Connection Request)</t>
  </si>
  <si>
    <t>Tích hợp phân quyền Granular RBAC, bảo vệ chống XSS/SQLi, caching Redis và cơ chế realtime/worker: Kèm lời chào cá nhân hóa và mục tiêu hợp tác thương mại cụ thể</t>
  </si>
  <si>
    <t>WBS-NETWORK-0262</t>
  </si>
  <si>
    <t>[Tích Hợp &amp; Bảo Mật] Hủy yêu cầu kết nối đã gửi khi chưa được chấp nhận</t>
  </si>
  <si>
    <t>Tích hợp phân quyền Granular RBAC, bảo vệ chống XSS/SQLi, caching Redis và cơ chế realtime/worker: Xóa lời mời khỏi hàng đợi đối tác, giải phóng trạng thái kết nối</t>
  </si>
  <si>
    <t>WBS-NETWORK-0263</t>
  </si>
  <si>
    <t>[Tích Hợp &amp; Bảo Mật] Chấp nhận lời mời kết nối đối tác kinh doanh (Accept Connection)</t>
  </si>
  <si>
    <t>Tích hợp phân quyền Granular RBAC, bảo vệ chống XSS/SQLi, caching Redis và cơ chế realtime/worker: Kích hoạt quan hệ 2 chiều, mở quyền xem số điện thoại và nhắn tin</t>
  </si>
  <si>
    <t>WBS-NETWORK-0264</t>
  </si>
  <si>
    <t>[Tích Hợp &amp; Bảo Mật] Từ chối lời mời kết nối kèm thông báo lịch sự văn phong ngoại giao</t>
  </si>
  <si>
    <t>Tích hợp phân quyền Granular RBAC, bảo vệ chống XSS/SQLi, caching Redis và cơ chế realtime/worker: Chuyển trạng thái declined, không gửi thông báo tiêu cực cho đối phương</t>
  </si>
  <si>
    <t>WBS-NETWORK-0265</t>
  </si>
  <si>
    <t>[Tích Hợp &amp; Bảo Mật] Hủy kết nối đối tác khi không còn nhu cầu giao thương (Remove)</t>
  </si>
  <si>
    <t>Tích hợp phân quyền Granular RBAC, bảo vệ chống XSS/SQLi, caching Redis và cơ chế realtime/worker: Thu hồi quyền xem số điện thoại cá nhân, giữ lại lịch sử giao dịch</t>
  </si>
  <si>
    <t>WBS-NETWORK-0266</t>
  </si>
  <si>
    <t>[Tích Hợp &amp; Bảo Mật] Chặn người dùng (Block User) khi có hành vi spam thương mại</t>
  </si>
  <si>
    <t>Tích hợp phân quyền Granular RBAC, bảo vệ chống XSS/SQLi, caching Redis và cơ chế realtime/worker: Ẩn hoàn toàn bài viết, tin nhắn và thông tin cá nhân của người bị chặn</t>
  </si>
  <si>
    <t>WBS-NETWORK-0267</t>
  </si>
  <si>
    <t>[Tích Hợp &amp; Bảo Mật] Mở chặn người dùng (Unblock User) trong màn hình quản lý bảo mật</t>
  </si>
  <si>
    <t>Tích hợp phân quyền Granular RBAC, bảo vệ chống XSS/SQLi, caching Redis và cơ chế realtime/worker: Cho phép khôi phục hiển thị và tìm kiếm lại người dùng trong danh bạ</t>
  </si>
  <si>
    <t>WBS-NETWORK-0268</t>
  </si>
  <si>
    <t>[Tích Hợp &amp; Bảo Mật] Báo cáo vi phạm (Report User) hành vi giả mạo hoặc lừa đảo</t>
  </si>
  <si>
    <t>Tích hợp phân quyền Granular RBAC, bảo vệ chống XSS/SQLi, caching Redis và cơ chế realtime/worker: Gửi báo cáo kèm bằng chứng ảnh chụp màn hình tới Ban Kiểm Tra</t>
  </si>
  <si>
    <t>WBS-NETWORK-0269</t>
  </si>
  <si>
    <t>[Tích Hợp &amp; Bảo Mật] Đề xuất mối quan hệ chung (Mutual Connections Finder)</t>
  </si>
  <si>
    <t>Tích hợp phân quyền Granular RBAC, bảo vệ chống XSS/SQLi, caching Redis và cơ chế realtime/worker: Hiển thị số lượng bạn chung giữa 2 doanh nhân để tăng độ tin cậy</t>
  </si>
  <si>
    <t>WBS-NETWORK-0270</t>
  </si>
  <si>
    <t>[Tích Hợp &amp; Bảo Mật] Gắn thẻ ghi chú quan hệ đối tác (Private Notes &amp; Tags)</t>
  </si>
  <si>
    <t>Tích hợp phân quyền Granular RBAC, bảo vệ chống XSS/SQLi, caching Redis và cơ chế realtime/worker: Ghi chép mật về thói quen, sở thích, ngày sinh nhật, chỉ mình xem được</t>
  </si>
  <si>
    <t>WBS-NETWORK-0271</t>
  </si>
  <si>
    <t>[Tích Hợp &amp; Bảo Mật] Trao thẻ danh thiếp điện tử 1 chạm NFC (Tap to Connect)</t>
  </si>
  <si>
    <t>Tích hợp phân quyền Granular RBAC, bảo vệ chống XSS/SQLi, caching Redis và cơ chế realtime/worker: Truyền thông tin thẻ qua sóng NFC tần số 13.56MHz không cần cài app</t>
  </si>
  <si>
    <t>WBS-NETWORK-0272</t>
  </si>
  <si>
    <t>[Tích Hợp &amp; Bảo Mật] Sinh mã QR cá nhân hóa động cho danh thiếp điện tử</t>
  </si>
  <si>
    <t>Tích hợp phân quyền Granular RBAC, bảo vệ chống XSS/SQLi, caching Redis và cơ chế realtime/worker: Mã QR chứa link slug độc bản, có logo hiệp hội ở chính giữa</t>
  </si>
  <si>
    <t>WBS-NETWORK-0273</t>
  </si>
  <si>
    <t>[Tích Hợp &amp; Bảo Mật] Xuất tệp danh bạ điện tử vCard .vcf lưu vào máy điện thoại</t>
  </si>
  <si>
    <t>Tích hợp phân quyền Granular RBAC, bảo vệ chống XSS/SQLi, caching Redis và cơ chế realtime/worker: Tạo file chuẩn RFC 6350 chứa đầy đủ họ tên, công ty, SĐT, avatar</t>
  </si>
  <si>
    <t>WBS-NETWORK-0274</t>
  </si>
  <si>
    <t>[Tích Hợp &amp; Bảo Mật] Đồng bộ thẻ thành viên vào ví điện tử Apple Wallet (.pkpass)</t>
  </si>
  <si>
    <t>Tích hợp phân quyền Granular RBAC, bảo vệ chống XSS/SQLi, caching Redis và cơ chế realtime/worker: Ký số tệp pass bằng chứng thư số Apple Developer Certificate</t>
  </si>
  <si>
    <t>WBS-NETWORK-0275</t>
  </si>
  <si>
    <t>[Tích Hợp &amp; Bảo Mật] Đồng bộ thẻ thành viên vào ví Google Wallet trên Android</t>
  </si>
  <si>
    <t>Tích hợp phân quyền Granular RBAC, bảo vệ chống XSS/SQLi, caching Redis và cơ chế realtime/worker: Tạo Generic Pass qua Google Wallet REST API và hiển thị nút Lưu</t>
  </si>
  <si>
    <t>WBS-NETWORK-0276</t>
  </si>
  <si>
    <t>[Tích Hợp &amp; Bảo Mật] Thống kê số lượt xem thẻ và tỷ lệ lưu danh bạ (Card Analytics)</t>
  </si>
  <si>
    <t>Tích hợp phân quyền Granular RBAC, bảo vệ chống XSS/SQLi, caching Redis và cơ chế realtime/worker: Biểu đồ lượt quét NFC, quét QR, lưu vCard theo từng mốc thời gian</t>
  </si>
  <si>
    <t>WBS-NETWORK-0277</t>
  </si>
  <si>
    <t>[Tích Hợp &amp; Bảo Mật] Phân nhóm danh bạ đối tác theo ngành nghề và mức độ ưu tiên</t>
  </si>
  <si>
    <t>Tích hợp phân quyền Granular RBAC, bảo vệ chống XSS/SQLi, caching Redis và cơ chế realtime/worker: Tạo nhóm: Khách VIP, Đối tác chiến lược, Nhà cung ứng thân thiết</t>
  </si>
  <si>
    <t>WBS-NETWORK-0278</t>
  </si>
  <si>
    <t>[Tích Hợp &amp; Bảo Mật] Gửi tin nhắn chào mừng tự động khi kết nối thành công</t>
  </si>
  <si>
    <t>Tích hợp phân quyền Granular RBAC, bảo vệ chống XSS/SQLi, caching Redis và cơ chế realtime/worker: Hệ thống tự động gửi tin nhắn chào mừng kèm hồ sơ năng lực PDF</t>
  </si>
  <si>
    <t>WBS-NETWORK-0279</t>
  </si>
  <si>
    <t>[Tích Hợp &amp; Bảo Mật] Tìm kiếm đối tác xung quanh vị trí hiện tại (Radar Proximity)</t>
  </si>
  <si>
    <t>Tích hợp phân quyền Granular RBAC, bảo vệ chống XSS/SQLi, caching Redis và cơ chế realtime/worker: Sử dụng GPS tìm các hội viên đang có mặt trong bán kính 1km</t>
  </si>
  <si>
    <t>WBS-NETWORK-0280</t>
  </si>
  <si>
    <t>[Tích Hợp &amp; Bảo Mật] Xuất danh bạ đối tác kết nối ra file Excel định dạng chuẩn</t>
  </si>
  <si>
    <t>Tích hợp phân quyền Granular RBAC, bảo vệ chống XSS/SQLi, caching Redis và cơ chế realtime/worker: Xuất danh sách gồm họ tên, công ty, email, số điện thoại, ngày kết nối</t>
  </si>
  <si>
    <t>WBS-NETWORK-0281</t>
  </si>
  <si>
    <t>Mạng Lưới Doanh Nhân &amp; Đối Tác [Giai đoạn: Kiểm Thử Tự Động Toàn Diện E2E, Hiệu Năng &amp; Nghiệm Thu UAT]</t>
  </si>
  <si>
    <t>[Kiểm Thử E2E &amp; UAT] Gửi lời mời kết nối kinh doanh (Send Connection Request)</t>
  </si>
  <si>
    <t>Kiểm thử hộp đen/hộp trắng toàn diện, kiểm tra tải đồng thời, đối soát dữ liệu và nghiệm thu Ban Lãnh Đạo: Kèm lời chào cá nhân hóa và mục tiêu hợp tác thương mại cụ thể</t>
  </si>
  <si>
    <t>WBS-NETWORK-0282</t>
  </si>
  <si>
    <t>[Kiểm Thử E2E &amp; UAT] Hủy yêu cầu kết nối đã gửi khi chưa được chấp nhận</t>
  </si>
  <si>
    <t>Kiểm thử hộp đen/hộp trắng toàn diện, kiểm tra tải đồng thời, đối soát dữ liệu và nghiệm thu Ban Lãnh Đạo: Xóa lời mời khỏi hàng đợi đối tác, giải phóng trạng thái kết nối</t>
  </si>
  <si>
    <t>WBS-NETWORK-0283</t>
  </si>
  <si>
    <t>[Kiểm Thử E2E &amp; UAT] Chấp nhận lời mời kết nối đối tác kinh doanh (Accept Connection)</t>
  </si>
  <si>
    <t>Kiểm thử hộp đen/hộp trắng toàn diện, kiểm tra tải đồng thời, đối soát dữ liệu và nghiệm thu Ban Lãnh Đạo: Kích hoạt quan hệ 2 chiều, mở quyền xem số điện thoại và nhắn tin</t>
  </si>
  <si>
    <t>WBS-NETWORK-0284</t>
  </si>
  <si>
    <t>[Kiểm Thử E2E &amp; UAT] Từ chối lời mời kết nối kèm thông báo lịch sự văn phong ngoại giao</t>
  </si>
  <si>
    <t>Kiểm thử hộp đen/hộp trắng toàn diện, kiểm tra tải đồng thời, đối soát dữ liệu và nghiệm thu Ban Lãnh Đạo: Chuyển trạng thái declined, không gửi thông báo tiêu cực cho đối phương</t>
  </si>
  <si>
    <t>WBS-NETWORK-0285</t>
  </si>
  <si>
    <t>[Kiểm Thử E2E &amp; UAT] Hủy kết nối đối tác khi không còn nhu cầu giao thương (Remove)</t>
  </si>
  <si>
    <t>Kiểm thử hộp đen/hộp trắng toàn diện, kiểm tra tải đồng thời, đối soát dữ liệu và nghiệm thu Ban Lãnh Đạo: Thu hồi quyền xem số điện thoại cá nhân, giữ lại lịch sử giao dịch</t>
  </si>
  <si>
    <t>WBS-NETWORK-0286</t>
  </si>
  <si>
    <t>[Kiểm Thử E2E &amp; UAT] Chặn người dùng (Block User) khi có hành vi spam thương mại</t>
  </si>
  <si>
    <t>Kiểm thử hộp đen/hộp trắng toàn diện, kiểm tra tải đồng thời, đối soát dữ liệu và nghiệm thu Ban Lãnh Đạo: Ẩn hoàn toàn bài viết, tin nhắn và thông tin cá nhân của người bị chặn</t>
  </si>
  <si>
    <t>WBS-NETWORK-0287</t>
  </si>
  <si>
    <t>[Kiểm Thử E2E &amp; UAT] Mở chặn người dùng (Unblock User) trong màn hình quản lý bảo mật</t>
  </si>
  <si>
    <t>Kiểm thử hộp đen/hộp trắng toàn diện, kiểm tra tải đồng thời, đối soát dữ liệu và nghiệm thu Ban Lãnh Đạo: Cho phép khôi phục hiển thị và tìm kiếm lại người dùng trong danh bạ</t>
  </si>
  <si>
    <t>WBS-NETWORK-0288</t>
  </si>
  <si>
    <t>[Kiểm Thử E2E &amp; UAT] Báo cáo vi phạm (Report User) hành vi giả mạo hoặc lừa đảo</t>
  </si>
  <si>
    <t>Kiểm thử hộp đen/hộp trắng toàn diện, kiểm tra tải đồng thời, đối soát dữ liệu và nghiệm thu Ban Lãnh Đạo: Gửi báo cáo kèm bằng chứng ảnh chụp màn hình tới Ban Kiểm Tra</t>
  </si>
  <si>
    <t>WBS-NETWORK-0289</t>
  </si>
  <si>
    <t>[Kiểm Thử E2E &amp; UAT] Đề xuất mối quan hệ chung (Mutual Connections Finder)</t>
  </si>
  <si>
    <t>Kiểm thử hộp đen/hộp trắng toàn diện, kiểm tra tải đồng thời, đối soát dữ liệu và nghiệm thu Ban Lãnh Đạo: Hiển thị số lượng bạn chung giữa 2 doanh nhân để tăng độ tin cậy</t>
  </si>
  <si>
    <t>WBS-NETWORK-0290</t>
  </si>
  <si>
    <t>[Kiểm Thử E2E &amp; UAT] Gắn thẻ ghi chú quan hệ đối tác (Private Notes &amp; Tags)</t>
  </si>
  <si>
    <t>Kiểm thử hộp đen/hộp trắng toàn diện, kiểm tra tải đồng thời, đối soát dữ liệu và nghiệm thu Ban Lãnh Đạo: Ghi chép mật về thói quen, sở thích, ngày sinh nhật, chỉ mình xem được</t>
  </si>
  <si>
    <t>WBS-NETWORK-0291</t>
  </si>
  <si>
    <t>[Kiểm Thử E2E &amp; UAT] Trao thẻ danh thiếp điện tử 1 chạm NFC (Tap to Connect)</t>
  </si>
  <si>
    <t>Kiểm thử hộp đen/hộp trắng toàn diện, kiểm tra tải đồng thời, đối soát dữ liệu và nghiệm thu Ban Lãnh Đạo: Truyền thông tin thẻ qua sóng NFC tần số 13.56MHz không cần cài app</t>
  </si>
  <si>
    <t>WBS-NETWORK-0292</t>
  </si>
  <si>
    <t>[Kiểm Thử E2E &amp; UAT] Sinh mã QR cá nhân hóa động cho danh thiếp điện tử</t>
  </si>
  <si>
    <t>Kiểm thử hộp đen/hộp trắng toàn diện, kiểm tra tải đồng thời, đối soát dữ liệu và nghiệm thu Ban Lãnh Đạo: Mã QR chứa link slug độc bản, có logo hiệp hội ở chính giữa</t>
  </si>
  <si>
    <t>WBS-NETWORK-0293</t>
  </si>
  <si>
    <t>[Kiểm Thử E2E &amp; UAT] Xuất tệp danh bạ điện tử vCard .vcf lưu vào máy điện thoại</t>
  </si>
  <si>
    <t>Kiểm thử hộp đen/hộp trắng toàn diện, kiểm tra tải đồng thời, đối soát dữ liệu và nghiệm thu Ban Lãnh Đạo: Tạo file chuẩn RFC 6350 chứa đầy đủ họ tên, công ty, SĐT, avatar</t>
  </si>
  <si>
    <t>WBS-NETWORK-0294</t>
  </si>
  <si>
    <t>[Kiểm Thử E2E &amp; UAT] Đồng bộ thẻ thành viên vào ví điện tử Apple Wallet (.pkpass)</t>
  </si>
  <si>
    <t>Kiểm thử hộp đen/hộp trắng toàn diện, kiểm tra tải đồng thời, đối soát dữ liệu và nghiệm thu Ban Lãnh Đạo: Ký số tệp pass bằng chứng thư số Apple Developer Certificate</t>
  </si>
  <si>
    <t>WBS-NETWORK-0295</t>
  </si>
  <si>
    <t>[Kiểm Thử E2E &amp; UAT] Đồng bộ thẻ thành viên vào ví Google Wallet trên Android</t>
  </si>
  <si>
    <t>Kiểm thử hộp đen/hộp trắng toàn diện, kiểm tra tải đồng thời, đối soát dữ liệu và nghiệm thu Ban Lãnh Đạo: Tạo Generic Pass qua Google Wallet REST API và hiển thị nút Lưu</t>
  </si>
  <si>
    <t>WBS-NETWORK-0296</t>
  </si>
  <si>
    <t>[Kiểm Thử E2E &amp; UAT] Thống kê số lượt xem thẻ và tỷ lệ lưu danh bạ (Card Analytics)</t>
  </si>
  <si>
    <t>Kiểm thử hộp đen/hộp trắng toàn diện, kiểm tra tải đồng thời, đối soát dữ liệu và nghiệm thu Ban Lãnh Đạo: Biểu đồ lượt quét NFC, quét QR, lưu vCard theo từng mốc thời gian</t>
  </si>
  <si>
    <t>WBS-NETWORK-0297</t>
  </si>
  <si>
    <t>[Kiểm Thử E2E &amp; UAT] Phân nhóm danh bạ đối tác theo ngành nghề và mức độ ưu tiên</t>
  </si>
  <si>
    <t>Kiểm thử hộp đen/hộp trắng toàn diện, kiểm tra tải đồng thời, đối soát dữ liệu và nghiệm thu Ban Lãnh Đạo: Tạo nhóm: Khách VIP, Đối tác chiến lược, Nhà cung ứng thân thiết</t>
  </si>
  <si>
    <t>WBS-NETWORK-0298</t>
  </si>
  <si>
    <t>[Kiểm Thử E2E &amp; UAT] Gửi tin nhắn chào mừng tự động khi kết nối thành công</t>
  </si>
  <si>
    <t>Kiểm thử hộp đen/hộp trắng toàn diện, kiểm tra tải đồng thời, đối soát dữ liệu và nghiệm thu Ban Lãnh Đạo: Hệ thống tự động gửi tin nhắn chào mừng kèm hồ sơ năng lực PDF</t>
  </si>
  <si>
    <t>WBS-NETWORK-0299</t>
  </si>
  <si>
    <t>[Kiểm Thử E2E &amp; UAT] Tìm kiếm đối tác xung quanh vị trí hiện tại (Radar Proximity)</t>
  </si>
  <si>
    <t>Kiểm thử hộp đen/hộp trắng toàn diện, kiểm tra tải đồng thời, đối soát dữ liệu và nghiệm thu Ban Lãnh Đạo: Sử dụng GPS tìm các hội viên đang có mặt trong bán kính 1km</t>
  </si>
  <si>
    <t>WBS-NETWORK-0300</t>
  </si>
  <si>
    <t>[Kiểm Thử E2E &amp; UAT] Xuất danh bạ đối tác kết nối ra file Excel định dạng chuẩn</t>
  </si>
  <si>
    <t>Kiểm thử hộp đen/hộp trắng toàn diện, kiểm tra tải đồng thời, đối soát dữ liệu và nghiệm thu Ban Lãnh Đạo: Xuất danh sách gồm họ tên, công ty, email, số điện thoại, ngày kết nối</t>
  </si>
  <si>
    <t>VIONE MASTER WBS: BẢNG TIN MOMENTS, ĐA PHƯƠNG TIỆN &amp; CỘNG ĐỒNG</t>
  </si>
  <si>
    <t>WBS-MOMENTS-0301</t>
  </si>
  <si>
    <t>Bảng Tin Giao Thương &amp; Cộng Đồng [Giai đoạn: Khởi Tạo, Phân Tích Nghiệp Vụ &amp; Mô Hình Dữ Liệu]</t>
  </si>
  <si>
    <t>[Kiến Trúc &amp; Schema] Đăng bài khoảnh khắc giao thương đa ảnh chuẩn Facebook-grade</t>
  </si>
  <si>
    <t>Phân tích yêu cầu nghiệp vụ, thiết kế bảng dữ liệu CSDL PostgreSQL, đặc tả API RESTful và luồng nghiệp vụ chi tiết cho: Cho phép tải tối đa 6 ảnh chất lượng cao, xóa ảnh, nén ảnh client</t>
  </si>
  <si>
    <t>/moments/create</t>
  </si>
  <si>
    <t>MinIO / Supabase Storage</t>
  </si>
  <si>
    <t>WBS-MOMENTS-0302</t>
  </si>
  <si>
    <t>[Kiến Trúc &amp; Schema] Gắn thẻ đối tác doanh nghiệp (@mention) trong bài viết</t>
  </si>
  <si>
    <t>Phân tích yêu cầu nghiệp vụ, thiết kế bảng dữ liệu CSDL PostgreSQL, đặc tả API RESTful và luồng nghiệp vụ chi tiết cho: Tìm kiếm nhanh doanh nhân trong mạng lưới, gửi thông báo tức thì</t>
  </si>
  <si>
    <t>/moments/tagging</t>
  </si>
  <si>
    <t>Mention Parser &amp; Notification</t>
  </si>
  <si>
    <t>WBS-MOMENTS-0303</t>
  </si>
  <si>
    <t>[Kiến Trúc &amp; Schema] Gắn địa điểm check-in tại hội trường, khách sạn, sân golf</t>
  </si>
  <si>
    <t>Phân tích yêu cầu nghiệp vụ, thiết kế bảng dữ liệu CSDL PostgreSQL, đặc tả API RESTful và luồng nghiệp vụ chi tiết cho: Tìm kiếm địa điểm thực tế, lưu trữ tọa độ kinh độ/vĩ độ GPS</t>
  </si>
  <si>
    <t>/moments/checkin</t>
  </si>
  <si>
    <t>Geolocation Tagging</t>
  </si>
  <si>
    <t>WBS-MOMENTS-0304</t>
  </si>
  <si>
    <t>[Kiến Trúc &amp; Schema] Tương tác thả cảm xúc B2B (Thích, Bắt tay, Hợp tác, Vinh danh)</t>
  </si>
  <si>
    <t>Phân tích yêu cầu nghiệp vụ, thiết kế bảng dữ liệu CSDL PostgreSQL, đặc tả API RESTful và luồng nghiệp vụ chi tiết cho: Hỗ trợ 5 biểu tượng cảm xúc chuyên biệt cho giới doanh nhân</t>
  </si>
  <si>
    <t>/moments/reactions</t>
  </si>
  <si>
    <t>Realtime Reaction Dispatcher</t>
  </si>
  <si>
    <t>WBS-MOMENTS-0305</t>
  </si>
  <si>
    <t>[Kiến Trúc &amp; Schema] Bình luận bài viết đính kèm hình ảnh tài liệu hợp tác</t>
  </si>
  <si>
    <t>Phân tích yêu cầu nghiệp vụ, thiết kế bảng dữ liệu CSDL PostgreSQL, đặc tả API RESTful và luồng nghiệp vụ chi tiết cho: Bình luận trao đổi cơ hội, xem trước ảnh và mở Lightbox phóng to</t>
  </si>
  <si>
    <t>/moments/comments</t>
  </si>
  <si>
    <t>Comment Image Attachments</t>
  </si>
  <si>
    <t>WBS-MOMENTS-0306</t>
  </si>
  <si>
    <t>[Kiến Trúc &amp; Schema] Bình luận phản hồi lồng nhau đa cấp (Nested Reply Comments)</t>
  </si>
  <si>
    <t>Phân tích yêu cầu nghiệp vụ, thiết kế bảng dữ liệu CSDL PostgreSQL, đặc tả API RESTful và luồng nghiệp vụ chi tiết cho: Hỗ trợ trả lời trực tiếp từng bình luận, thông báo theo cây thảo luận</t>
  </si>
  <si>
    <t>/moments/replies</t>
  </si>
  <si>
    <t>Hierarchical Tree Comments</t>
  </si>
  <si>
    <t>WBS-MOMENTS-0307</t>
  </si>
  <si>
    <t>[Kiến Trúc &amp; Schema] Chỉnh sửa và xóa bài viết Moments có xác nhận an toàn</t>
  </si>
  <si>
    <t>Phân tích yêu cầu nghiệp vụ, thiết kế bảng dữ liệu CSDL PostgreSQL, đặc tả API RESTful và luồng nghiệp vụ chi tiết cho: Cho phép tác giả sửa nội dung, xóa bài viết kèm xóa ảnh lưu trữ</t>
  </si>
  <si>
    <t>/moments/edit-delete</t>
  </si>
  <si>
    <t>Cascade Storage Cleanup</t>
  </si>
  <si>
    <t>WBS-MOMENTS-0308</t>
  </si>
  <si>
    <t>[Kiến Trúc &amp; Schema] Khởi tạo Phân ban / Câu lạc bộ chuyên môn trong Hiệp hội</t>
  </si>
  <si>
    <t>Phân tích yêu cầu nghiệp vụ, thiết kế bảng dữ liệu CSDL PostgreSQL, đặc tả API RESTful và luồng nghiệp vụ chi tiết cho: Khai báo CLB Bất động sản, CLB Công nghệ, CLB Golf doanh nhân</t>
  </si>
  <si>
    <t>/communities/create</t>
  </si>
  <si>
    <t>Ban Chấp Hành</t>
  </si>
  <si>
    <t>Multi-club Architecture</t>
  </si>
  <si>
    <t>WBS-MOMENTS-0309</t>
  </si>
  <si>
    <t>[Kiến Trúc &amp; Schema] Gia nhập hoặc rời khỏi Câu lạc bộ / Phân ban chuyên môn</t>
  </si>
  <si>
    <t>Phân tích yêu cầu nghiệp vụ, thiết kế bảng dữ liệu CSDL PostgreSQL, đặc tả API RESTful và luồng nghiệp vụ chi tiết cho: Hội viên đăng ký tham gia CLB, Thư ký CLB duyệt thành viên mới</t>
  </si>
  <si>
    <t>/communities/membership</t>
  </si>
  <si>
    <t>Club Member Roster</t>
  </si>
  <si>
    <t>WBS-MOMENTS-0310</t>
  </si>
  <si>
    <t>[Kiến Trúc &amp; Schema] Ghim bài viết quan trọng (Pin Post) lên đầu bảng tin CLB</t>
  </si>
  <si>
    <t>Phân tích yêu cầu nghiệp vụ, thiết kế bảng dữ liệu CSDL PostgreSQL, đặc tả API RESTful và luồng nghiệp vụ chi tiết cho: Trưởng ban ghim thông báo đại hội, nghị quyết hoặc quy chế hoạt động</t>
  </si>
  <si>
    <t>/communities/pin-post</t>
  </si>
  <si>
    <t>Trưởng Ban</t>
  </si>
  <si>
    <t>Sticky Post Priority Flag</t>
  </si>
  <si>
    <t>WBS-MOMENTS-0311</t>
  </si>
  <si>
    <t>[Kiến Trúc &amp; Schema] Kiểm duyệt bài viết tự động chống ngôn từ tiêu cực bằng AI</t>
  </si>
  <si>
    <t>Phân tích yêu cầu nghiệp vụ, thiết kế bảng dữ liệu CSDL PostgreSQL, đặc tả API RESTful và luồng nghiệp vụ chi tiết cho: Quét nội dung bài viết trước khi xuất bản, gắn cờ bài vi phạm</t>
  </si>
  <si>
    <t>/moments/ai-moderation</t>
  </si>
  <si>
    <t>AI NLP Text Moderation</t>
  </si>
  <si>
    <t>WBS-MOMENTS-0312</t>
  </si>
  <si>
    <t>[Kiến Trúc &amp; Schema] Xem ảnh phóng to toàn màn hình dạng Lightbox có vuốt chạm</t>
  </si>
  <si>
    <t>Phân tích yêu cầu nghiệp vụ, thiết kế bảng dữ liệu CSDL PostgreSQL, đặc tả API RESTful và luồng nghiệp vụ chi tiết cho: Hỗ trợ cử chỉ chạm vuốt sang ảnh kế tiếp trên màn hình di động</t>
  </si>
  <si>
    <t>/components/lightbox</t>
  </si>
  <si>
    <t>Touch Gesture Lightbox</t>
  </si>
  <si>
    <t>WBS-MOMENTS-0313</t>
  </si>
  <si>
    <t>[Kiến Trúc &amp; Schema] Chia sẻ bài viết ra mạng xã hội ngoài (LinkedIn, Facebook)</t>
  </si>
  <si>
    <t>Phân tích yêu cầu nghiệp vụ, thiết kế bảng dữ liệu CSDL PostgreSQL, đặc tả API RESTful và luồng nghiệp vụ chi tiết cho: Tự động tạo OpenGraph meta tag hình ảnh và tiêu đề chuẩn SEO</t>
  </si>
  <si>
    <t>/moments/share-external</t>
  </si>
  <si>
    <t>Dynamic OpenGraph SSR</t>
  </si>
  <si>
    <t>WBS-MOMENTS-0314</t>
  </si>
  <si>
    <t>[Kiến Trúc &amp; Schema] Báo cáo bài viết vi phạm đạo đức thương mại (Report Post)</t>
  </si>
  <si>
    <t>Phân tích yêu cầu nghiệp vụ, thiết kế bảng dữ liệu CSDL PostgreSQL, đặc tả API RESTful và luồng nghiệp vụ chi tiết cho: Gửi bài viết kèm lý do vi phạm đến hàng đợi kiểm duyệt ban thư ký</t>
  </si>
  <si>
    <t>/moments/report</t>
  </si>
  <si>
    <t>Moderation Queue</t>
  </si>
  <si>
    <t>WBS-MOMENTS-0315</t>
  </si>
  <si>
    <t>[Kiến Trúc &amp; Schema] Khảo sát ý kiến nhanh trên bảng tin (Poll Voting in Feed)</t>
  </si>
  <si>
    <t>Phân tích yêu cầu nghiệp vụ, thiết kế bảng dữ liệu CSDL PostgreSQL, đặc tả API RESTful và luồng nghiệp vụ chi tiết cho: Tạo câu hỏi thăm dò ý kiến 4 lựa chọn, biểu đồ kết quả trực tiếp</t>
  </si>
  <si>
    <t>/moments/feed-poll</t>
  </si>
  <si>
    <t>Mini Poll Component</t>
  </si>
  <si>
    <t>WBS-MOMENTS-0316</t>
  </si>
  <si>
    <t>[Kiến Trúc &amp; Schema] Thông báo đẩy (Push Notification) khi có người tương tác bài</t>
  </si>
  <si>
    <t>Phân tích yêu cầu nghiệp vụ, thiết kế bảng dữ liệu CSDL PostgreSQL, đặc tả API RESTful và luồng nghiệp vụ chi tiết cho: Gửi push notification tới điện thoại khi có bình luận hoặc nhắc tên</t>
  </si>
  <si>
    <t>/api/notifications/push</t>
  </si>
  <si>
    <t>Firebase Cloud Messaging</t>
  </si>
  <si>
    <t>WBS-MOMENTS-0317</t>
  </si>
  <si>
    <t>[Kiến Trúc &amp; Schema] Xem bảng tin riêng của từng Câu lạc bộ chuyên môn</t>
  </si>
  <si>
    <t>Phân tích yêu cầu nghiệp vụ, thiết kế bảng dữ liệu CSDL PostgreSQL, đặc tả API RESTful và luồng nghiệp vụ chi tiết cho: Lọc luồng tin tức độc quyền chỉ dành riêng cho thành viên câu lạc bộ</t>
  </si>
  <si>
    <t>/communities/:id/feed</t>
  </si>
  <si>
    <t>Hội Viên CLB</t>
  </si>
  <si>
    <t>Club Filtered Feed</t>
  </si>
  <si>
    <t>WBS-MOMENTS-0318</t>
  </si>
  <si>
    <t>[Kiến Trúc &amp; Schema] Quản lý vai trò Trưởng Ban, Phó Ban, Thư Ký trong Câu lạc bộ</t>
  </si>
  <si>
    <t>Phân tích yêu cầu nghiệp vụ, thiết kế bảng dữ liệu CSDL PostgreSQL, đặc tả API RESTful và luồng nghiệp vụ chi tiết cho: Phân quyền quản trị câu lạc bộ độc lập với quyền hiệp hội chính</t>
  </si>
  <si>
    <t>/communities/:id/roles</t>
  </si>
  <si>
    <t>Sub-community RBAC</t>
  </si>
  <si>
    <t>WBS-MOMENTS-0319</t>
  </si>
  <si>
    <t>[Kiến Trúc &amp; Schema] Lưu bài viết vào bộ sưu tập ưa thích (Saved Moments)</t>
  </si>
  <si>
    <t>Phân tích yêu cầu nghiệp vụ, thiết kế bảng dữ liệu CSDL PostgreSQL, đặc tả API RESTful và luồng nghiệp vụ chi tiết cho: Tạo bookmark lưu giữ các bài chia sẻ kinh nghiệm quý giá</t>
  </si>
  <si>
    <t>/moments/bookmarks</t>
  </si>
  <si>
    <t>Bookmark Entity Storage</t>
  </si>
  <si>
    <t>WBS-MOMENTS-0320</t>
  </si>
  <si>
    <t>[Kiến Trúc &amp; Schema] Thống kê tương tác bài viết (Lượt xem, tiếp cận, chia sẻ)</t>
  </si>
  <si>
    <t>Phân tích yêu cầu nghiệp vụ, thiết kế bảng dữ liệu CSDL PostgreSQL, đặc tả API RESTful và luồng nghiệp vụ chi tiết cho: Báo cáo hiệu quả lan tỏa bài viết của doanh nghiệp trên bảng tin</t>
  </si>
  <si>
    <t>/moments/post-metrics</t>
  </si>
  <si>
    <t>Impression Counter</t>
  </si>
  <si>
    <t>WBS-MOMENTS-0321</t>
  </si>
  <si>
    <t>Bảng Tin Giao Thương &amp; Cộng Đồng [Giai đoạn: Xây Dựng Giao Diện Người Dùng Frontend (Desktop &amp; Mobile)]</t>
  </si>
  <si>
    <t>[Giao Diện Frontend] Đăng bài khoảnh khắc giao thương đa ảnh chuẩn Facebook-grade</t>
  </si>
  <si>
    <t>Phát triển giao diện React/Tailwind, tối ưu hóa responsive di động, xử lý trạng thái loading/error/empty state: Cho phép tải tối đa 6 ảnh chất lượng cao, xóa ảnh, nén ảnh client</t>
  </si>
  <si>
    <t>WBS-MOMENTS-0322</t>
  </si>
  <si>
    <t>[Giao Diện Frontend] Gắn thẻ đối tác doanh nghiệp (@mention) trong bài viết</t>
  </si>
  <si>
    <t>Phát triển giao diện React/Tailwind, tối ưu hóa responsive di động, xử lý trạng thái loading/error/empty state: Tìm kiếm nhanh doanh nhân trong mạng lưới, gửi thông báo tức thì</t>
  </si>
  <si>
    <t>WBS-MOMENTS-0323</t>
  </si>
  <si>
    <t>[Giao Diện Frontend] Gắn địa điểm check-in tại hội trường, khách sạn, sân golf</t>
  </si>
  <si>
    <t>Phát triển giao diện React/Tailwind, tối ưu hóa responsive di động, xử lý trạng thái loading/error/empty state: Tìm kiếm địa điểm thực tế, lưu trữ tọa độ kinh độ/vĩ độ GPS</t>
  </si>
  <si>
    <t>WBS-MOMENTS-0324</t>
  </si>
  <si>
    <t>[Giao Diện Frontend] Tương tác thả cảm xúc B2B (Thích, Bắt tay, Hợp tác, Vinh danh)</t>
  </si>
  <si>
    <t>Phát triển giao diện React/Tailwind, tối ưu hóa responsive di động, xử lý trạng thái loading/error/empty state: Hỗ trợ 5 biểu tượng cảm xúc chuyên biệt cho giới doanh nhân</t>
  </si>
  <si>
    <t>WBS-MOMENTS-0325</t>
  </si>
  <si>
    <t>[Giao Diện Frontend] Bình luận bài viết đính kèm hình ảnh tài liệu hợp tác</t>
  </si>
  <si>
    <t>Phát triển giao diện React/Tailwind, tối ưu hóa responsive di động, xử lý trạng thái loading/error/empty state: Bình luận trao đổi cơ hội, xem trước ảnh và mở Lightbox phóng to</t>
  </si>
  <si>
    <t>WBS-MOMENTS-0326</t>
  </si>
  <si>
    <t>[Giao Diện Frontend] Bình luận phản hồi lồng nhau đa cấp (Nested Reply Comments)</t>
  </si>
  <si>
    <t>Phát triển giao diện React/Tailwind, tối ưu hóa responsive di động, xử lý trạng thái loading/error/empty state: Hỗ trợ trả lời trực tiếp từng bình luận, thông báo theo cây thảo luận</t>
  </si>
  <si>
    <t>WBS-MOMENTS-0327</t>
  </si>
  <si>
    <t>[Giao Diện Frontend] Chỉnh sửa và xóa bài viết Moments có xác nhận an toàn</t>
  </si>
  <si>
    <t>Phát triển giao diện React/Tailwind, tối ưu hóa responsive di động, xử lý trạng thái loading/error/empty state: Cho phép tác giả sửa nội dung, xóa bài viết kèm xóa ảnh lưu trữ</t>
  </si>
  <si>
    <t>WBS-MOMENTS-0328</t>
  </si>
  <si>
    <t>[Giao Diện Frontend] Khởi tạo Phân ban / Câu lạc bộ chuyên môn trong Hiệp hội</t>
  </si>
  <si>
    <t>Phát triển giao diện React/Tailwind, tối ưu hóa responsive di động, xử lý trạng thái loading/error/empty state: Khai báo CLB Bất động sản, CLB Công nghệ, CLB Golf doanh nhân</t>
  </si>
  <si>
    <t>WBS-MOMENTS-0329</t>
  </si>
  <si>
    <t>[Giao Diện Frontend] Gia nhập hoặc rời khỏi Câu lạc bộ / Phân ban chuyên môn</t>
  </si>
  <si>
    <t>Phát triển giao diện React/Tailwind, tối ưu hóa responsive di động, xử lý trạng thái loading/error/empty state: Hội viên đăng ký tham gia CLB, Thư ký CLB duyệt thành viên mới</t>
  </si>
  <si>
    <t>WBS-MOMENTS-0330</t>
  </si>
  <si>
    <t>[Giao Diện Frontend] Ghim bài viết quan trọng (Pin Post) lên đầu bảng tin CLB</t>
  </si>
  <si>
    <t>Phát triển giao diện React/Tailwind, tối ưu hóa responsive di động, xử lý trạng thái loading/error/empty state: Trưởng ban ghim thông báo đại hội, nghị quyết hoặc quy chế hoạt động</t>
  </si>
  <si>
    <t>WBS-MOMENTS-0331</t>
  </si>
  <si>
    <t>[Giao Diện Frontend] Kiểm duyệt bài viết tự động chống ngôn từ tiêu cực bằng AI</t>
  </si>
  <si>
    <t>Phát triển giao diện React/Tailwind, tối ưu hóa responsive di động, xử lý trạng thái loading/error/empty state: Quét nội dung bài viết trước khi xuất bản, gắn cờ bài vi phạm</t>
  </si>
  <si>
    <t>WBS-MOMENTS-0332</t>
  </si>
  <si>
    <t>[Giao Diện Frontend] Xem ảnh phóng to toàn màn hình dạng Lightbox có vuốt chạm</t>
  </si>
  <si>
    <t>Phát triển giao diện React/Tailwind, tối ưu hóa responsive di động, xử lý trạng thái loading/error/empty state: Hỗ trợ cử chỉ chạm vuốt sang ảnh kế tiếp trên màn hình di động</t>
  </si>
  <si>
    <t>WBS-MOMENTS-0333</t>
  </si>
  <si>
    <t>[Giao Diện Frontend] Chia sẻ bài viết ra mạng xã hội ngoài (LinkedIn, Facebook)</t>
  </si>
  <si>
    <t>Phát triển giao diện React/Tailwind, tối ưu hóa responsive di động, xử lý trạng thái loading/error/empty state: Tự động tạo OpenGraph meta tag hình ảnh và tiêu đề chuẩn SEO</t>
  </si>
  <si>
    <t>WBS-MOMENTS-0334</t>
  </si>
  <si>
    <t>[Giao Diện Frontend] Báo cáo bài viết vi phạm đạo đức thương mại (Report Post)</t>
  </si>
  <si>
    <t>Phát triển giao diện React/Tailwind, tối ưu hóa responsive di động, xử lý trạng thái loading/error/empty state: Gửi bài viết kèm lý do vi phạm đến hàng đợi kiểm duyệt ban thư ký</t>
  </si>
  <si>
    <t>WBS-MOMENTS-0335</t>
  </si>
  <si>
    <t>[Giao Diện Frontend] Khảo sát ý kiến nhanh trên bảng tin (Poll Voting in Feed)</t>
  </si>
  <si>
    <t>Phát triển giao diện React/Tailwind, tối ưu hóa responsive di động, xử lý trạng thái loading/error/empty state: Tạo câu hỏi thăm dò ý kiến 4 lựa chọn, biểu đồ kết quả trực tiếp</t>
  </si>
  <si>
    <t>WBS-MOMENTS-0336</t>
  </si>
  <si>
    <t>[Giao Diện Frontend] Thông báo đẩy (Push Notification) khi có người tương tác bài</t>
  </si>
  <si>
    <t>Phát triển giao diện React/Tailwind, tối ưu hóa responsive di động, xử lý trạng thái loading/error/empty state: Gửi push notification tới điện thoại khi có bình luận hoặc nhắc tên</t>
  </si>
  <si>
    <t>WBS-MOMENTS-0337</t>
  </si>
  <si>
    <t>[Giao Diện Frontend] Xem bảng tin riêng của từng Câu lạc bộ chuyên môn</t>
  </si>
  <si>
    <t>Phát triển giao diện React/Tailwind, tối ưu hóa responsive di động, xử lý trạng thái loading/error/empty state: Lọc luồng tin tức độc quyền chỉ dành riêng cho thành viên câu lạc bộ</t>
  </si>
  <si>
    <t>WBS-MOMENTS-0338</t>
  </si>
  <si>
    <t>[Giao Diện Frontend] Quản lý vai trò Trưởng Ban, Phó Ban, Thư Ký trong Câu lạc bộ</t>
  </si>
  <si>
    <t>Phát triển giao diện React/Tailwind, tối ưu hóa responsive di động, xử lý trạng thái loading/error/empty state: Phân quyền quản trị câu lạc bộ độc lập với quyền hiệp hội chính</t>
  </si>
  <si>
    <t>WBS-MOMENTS-0339</t>
  </si>
  <si>
    <t>[Giao Diện Frontend] Lưu bài viết vào bộ sưu tập ưa thích (Saved Moments)</t>
  </si>
  <si>
    <t>Phát triển giao diện React/Tailwind, tối ưu hóa responsive di động, xử lý trạng thái loading/error/empty state: Tạo bookmark lưu giữ các bài chia sẻ kinh nghiệm quý giá</t>
  </si>
  <si>
    <t>WBS-MOMENTS-0340</t>
  </si>
  <si>
    <t>[Giao Diện Frontend] Thống kê tương tác bài viết (Lượt xem, tiếp cận, chia sẻ)</t>
  </si>
  <si>
    <t>Phát triển giao diện React/Tailwind, tối ưu hóa responsive di động, xử lý trạng thái loading/error/empty state: Báo cáo hiệu quả lan tỏa bài viết của doanh nghiệp trên bảng tin</t>
  </si>
  <si>
    <t>WBS-MOMENTS-0341</t>
  </si>
  <si>
    <t>Bảng Tin Giao Thương &amp; Cộng Đồng [Giai đoạn: Xử Lý Logic Nghiệp Vụ Backend API &amp; Cơ Sở Dữ Liệu CSDL]</t>
  </si>
  <si>
    <t>[Logic Backend CSDL] Đăng bài khoảnh khắc giao thương đa ảnh chuẩn Facebook-grade</t>
  </si>
  <si>
    <t>Xây dựng NestJS Controller, Service, Prisma ORM, kiểm tra ràng buộc dữ liệu DTO và xử lý Transaction ACID: Cho phép tải tối đa 6 ảnh chất lượng cao, xóa ảnh, nén ảnh client</t>
  </si>
  <si>
    <t>WBS-MOMENTS-0342</t>
  </si>
  <si>
    <t>[Logic Backend CSDL] Gắn thẻ đối tác doanh nghiệp (@mention) trong bài viết</t>
  </si>
  <si>
    <t>Xây dựng NestJS Controller, Service, Prisma ORM, kiểm tra ràng buộc dữ liệu DTO và xử lý Transaction ACID: Tìm kiếm nhanh doanh nhân trong mạng lưới, gửi thông báo tức thì</t>
  </si>
  <si>
    <t>WBS-MOMENTS-0343</t>
  </si>
  <si>
    <t>[Logic Backend CSDL] Gắn địa điểm check-in tại hội trường, khách sạn, sân golf</t>
  </si>
  <si>
    <t>Xây dựng NestJS Controller, Service, Prisma ORM, kiểm tra ràng buộc dữ liệu DTO và xử lý Transaction ACID: Tìm kiếm địa điểm thực tế, lưu trữ tọa độ kinh độ/vĩ độ GPS</t>
  </si>
  <si>
    <t>WBS-MOMENTS-0344</t>
  </si>
  <si>
    <t>[Logic Backend CSDL] Tương tác thả cảm xúc B2B (Thích, Bắt tay, Hợp tác, Vinh danh)</t>
  </si>
  <si>
    <t>Xây dựng NestJS Controller, Service, Prisma ORM, kiểm tra ràng buộc dữ liệu DTO và xử lý Transaction ACID: Hỗ trợ 5 biểu tượng cảm xúc chuyên biệt cho giới doanh nhân</t>
  </si>
  <si>
    <t>WBS-MOMENTS-0345</t>
  </si>
  <si>
    <t>[Logic Backend CSDL] Bình luận bài viết đính kèm hình ảnh tài liệu hợp tác</t>
  </si>
  <si>
    <t>Xây dựng NestJS Controller, Service, Prisma ORM, kiểm tra ràng buộc dữ liệu DTO và xử lý Transaction ACID: Bình luận trao đổi cơ hội, xem trước ảnh và mở Lightbox phóng to</t>
  </si>
  <si>
    <t>WBS-MOMENTS-0346</t>
  </si>
  <si>
    <t>[Logic Backend CSDL] Bình luận phản hồi lồng nhau đa cấp (Nested Reply Comments)</t>
  </si>
  <si>
    <t>Xây dựng NestJS Controller, Service, Prisma ORM, kiểm tra ràng buộc dữ liệu DTO và xử lý Transaction ACID: Hỗ trợ trả lời trực tiếp từng bình luận, thông báo theo cây thảo luận</t>
  </si>
  <si>
    <t>WBS-MOMENTS-0347</t>
  </si>
  <si>
    <t>[Logic Backend CSDL] Chỉnh sửa và xóa bài viết Moments có xác nhận an toàn</t>
  </si>
  <si>
    <t>Xây dựng NestJS Controller, Service, Prisma ORM, kiểm tra ràng buộc dữ liệu DTO và xử lý Transaction ACID: Cho phép tác giả sửa nội dung, xóa bài viết kèm xóa ảnh lưu trữ</t>
  </si>
  <si>
    <t>WBS-MOMENTS-0348</t>
  </si>
  <si>
    <t>[Logic Backend CSDL] Khởi tạo Phân ban / Câu lạc bộ chuyên môn trong Hiệp hội</t>
  </si>
  <si>
    <t>Xây dựng NestJS Controller, Service, Prisma ORM, kiểm tra ràng buộc dữ liệu DTO và xử lý Transaction ACID: Khai báo CLB Bất động sản, CLB Công nghệ, CLB Golf doanh nhân</t>
  </si>
  <si>
    <t>WBS-MOMENTS-0349</t>
  </si>
  <si>
    <t>[Logic Backend CSDL] Gia nhập hoặc rời khỏi Câu lạc bộ / Phân ban chuyên môn</t>
  </si>
  <si>
    <t>Xây dựng NestJS Controller, Service, Prisma ORM, kiểm tra ràng buộc dữ liệu DTO và xử lý Transaction ACID: Hội viên đăng ký tham gia CLB, Thư ký CLB duyệt thành viên mới</t>
  </si>
  <si>
    <t>WBS-MOMENTS-0350</t>
  </si>
  <si>
    <t>[Logic Backend CSDL] Ghim bài viết quan trọng (Pin Post) lên đầu bảng tin CLB</t>
  </si>
  <si>
    <t>Xây dựng NestJS Controller, Service, Prisma ORM, kiểm tra ràng buộc dữ liệu DTO và xử lý Transaction ACID: Trưởng ban ghim thông báo đại hội, nghị quyết hoặc quy chế hoạt động</t>
  </si>
  <si>
    <t>WBS-MOMENTS-0351</t>
  </si>
  <si>
    <t>[Logic Backend CSDL] Kiểm duyệt bài viết tự động chống ngôn từ tiêu cực bằng AI</t>
  </si>
  <si>
    <t>Xây dựng NestJS Controller, Service, Prisma ORM, kiểm tra ràng buộc dữ liệu DTO và xử lý Transaction ACID: Quét nội dung bài viết trước khi xuất bản, gắn cờ bài vi phạm</t>
  </si>
  <si>
    <t>WBS-MOMENTS-0352</t>
  </si>
  <si>
    <t>[Logic Backend CSDL] Xem ảnh phóng to toàn màn hình dạng Lightbox có vuốt chạm</t>
  </si>
  <si>
    <t>Xây dựng NestJS Controller, Service, Prisma ORM, kiểm tra ràng buộc dữ liệu DTO và xử lý Transaction ACID: Hỗ trợ cử chỉ chạm vuốt sang ảnh kế tiếp trên màn hình di động</t>
  </si>
  <si>
    <t>WBS-MOMENTS-0353</t>
  </si>
  <si>
    <t>[Logic Backend CSDL] Chia sẻ bài viết ra mạng xã hội ngoài (LinkedIn, Facebook)</t>
  </si>
  <si>
    <t>Xây dựng NestJS Controller, Service, Prisma ORM, kiểm tra ràng buộc dữ liệu DTO và xử lý Transaction ACID: Tự động tạo OpenGraph meta tag hình ảnh và tiêu đề chuẩn SEO</t>
  </si>
  <si>
    <t>WBS-MOMENTS-0354</t>
  </si>
  <si>
    <t>[Logic Backend CSDL] Báo cáo bài viết vi phạm đạo đức thương mại (Report Post)</t>
  </si>
  <si>
    <t>Xây dựng NestJS Controller, Service, Prisma ORM, kiểm tra ràng buộc dữ liệu DTO và xử lý Transaction ACID: Gửi bài viết kèm lý do vi phạm đến hàng đợi kiểm duyệt ban thư ký</t>
  </si>
  <si>
    <t>WBS-MOMENTS-0355</t>
  </si>
  <si>
    <t>[Logic Backend CSDL] Khảo sát ý kiến nhanh trên bảng tin (Poll Voting in Feed)</t>
  </si>
  <si>
    <t>Xây dựng NestJS Controller, Service, Prisma ORM, kiểm tra ràng buộc dữ liệu DTO và xử lý Transaction ACID: Tạo câu hỏi thăm dò ý kiến 4 lựa chọn, biểu đồ kết quả trực tiếp</t>
  </si>
  <si>
    <t>WBS-MOMENTS-0356</t>
  </si>
  <si>
    <t>[Logic Backend CSDL] Thông báo đẩy (Push Notification) khi có người tương tác bài</t>
  </si>
  <si>
    <t>Xây dựng NestJS Controller, Service, Prisma ORM, kiểm tra ràng buộc dữ liệu DTO và xử lý Transaction ACID: Gửi push notification tới điện thoại khi có bình luận hoặc nhắc tên</t>
  </si>
  <si>
    <t>WBS-MOMENTS-0357</t>
  </si>
  <si>
    <t>[Logic Backend CSDL] Xem bảng tin riêng của từng Câu lạc bộ chuyên môn</t>
  </si>
  <si>
    <t>Xây dựng NestJS Controller, Service, Prisma ORM, kiểm tra ràng buộc dữ liệu DTO và xử lý Transaction ACID: Lọc luồng tin tức độc quyền chỉ dành riêng cho thành viên câu lạc bộ</t>
  </si>
  <si>
    <t>WBS-MOMENTS-0358</t>
  </si>
  <si>
    <t>[Logic Backend CSDL] Quản lý vai trò Trưởng Ban, Phó Ban, Thư Ký trong Câu lạc bộ</t>
  </si>
  <si>
    <t>Xây dựng NestJS Controller, Service, Prisma ORM, kiểm tra ràng buộc dữ liệu DTO và xử lý Transaction ACID: Phân quyền quản trị câu lạc bộ độc lập với quyền hiệp hội chính</t>
  </si>
  <si>
    <t>WBS-MOMENTS-0359</t>
  </si>
  <si>
    <t>[Logic Backend CSDL] Lưu bài viết vào bộ sưu tập ưa thích (Saved Moments)</t>
  </si>
  <si>
    <t>Xây dựng NestJS Controller, Service, Prisma ORM, kiểm tra ràng buộc dữ liệu DTO và xử lý Transaction ACID: Tạo bookmark lưu giữ các bài chia sẻ kinh nghiệm quý giá</t>
  </si>
  <si>
    <t>WBS-MOMENTS-0360</t>
  </si>
  <si>
    <t>[Logic Backend CSDL] Thống kê tương tác bài viết (Lượt xem, tiếp cận, chia sẻ)</t>
  </si>
  <si>
    <t>Xây dựng NestJS Controller, Service, Prisma ORM, kiểm tra ràng buộc dữ liệu DTO và xử lý Transaction ACID: Báo cáo hiệu quả lan tỏa bài viết của doanh nghiệp trên bảng tin</t>
  </si>
  <si>
    <t>WBS-MOMENTS-0361</t>
  </si>
  <si>
    <t>Bảng Tin Giao Thương &amp; Cộng Đồng [Giai đoạn: Tích Hợp Realtime, Hàng Đợi Worker &amp; Bảo Mật Granular RBAC]</t>
  </si>
  <si>
    <t>[Tích Hợp &amp; Bảo Mật] Đăng bài khoảnh khắc giao thương đa ảnh chuẩn Facebook-grade</t>
  </si>
  <si>
    <t>Tích hợp phân quyền Granular RBAC, bảo vệ chống XSS/SQLi, caching Redis và cơ chế realtime/worker: Cho phép tải tối đa 6 ảnh chất lượng cao, xóa ảnh, nén ảnh client</t>
  </si>
  <si>
    <t>WBS-MOMENTS-0362</t>
  </si>
  <si>
    <t>[Tích Hợp &amp; Bảo Mật] Gắn thẻ đối tác doanh nghiệp (@mention) trong bài viết</t>
  </si>
  <si>
    <t>Tích hợp phân quyền Granular RBAC, bảo vệ chống XSS/SQLi, caching Redis và cơ chế realtime/worker: Tìm kiếm nhanh doanh nhân trong mạng lưới, gửi thông báo tức thì</t>
  </si>
  <si>
    <t>WBS-MOMENTS-0363</t>
  </si>
  <si>
    <t>[Tích Hợp &amp; Bảo Mật] Gắn địa điểm check-in tại hội trường, khách sạn, sân golf</t>
  </si>
  <si>
    <t>Tích hợp phân quyền Granular RBAC, bảo vệ chống XSS/SQLi, caching Redis và cơ chế realtime/worker: Tìm kiếm địa điểm thực tế, lưu trữ tọa độ kinh độ/vĩ độ GPS</t>
  </si>
  <si>
    <t>WBS-MOMENTS-0364</t>
  </si>
  <si>
    <t>[Tích Hợp &amp; Bảo Mật] Tương tác thả cảm xúc B2B (Thích, Bắt tay, Hợp tác, Vinh danh)</t>
  </si>
  <si>
    <t>Tích hợp phân quyền Granular RBAC, bảo vệ chống XSS/SQLi, caching Redis và cơ chế realtime/worker: Hỗ trợ 5 biểu tượng cảm xúc chuyên biệt cho giới doanh nhân</t>
  </si>
  <si>
    <t>WBS-MOMENTS-0365</t>
  </si>
  <si>
    <t>[Tích Hợp &amp; Bảo Mật] Bình luận bài viết đính kèm hình ảnh tài liệu hợp tác</t>
  </si>
  <si>
    <t>Tích hợp phân quyền Granular RBAC, bảo vệ chống XSS/SQLi, caching Redis và cơ chế realtime/worker: Bình luận trao đổi cơ hội, xem trước ảnh và mở Lightbox phóng to</t>
  </si>
  <si>
    <t>WBS-MOMENTS-0366</t>
  </si>
  <si>
    <t>[Tích Hợp &amp; Bảo Mật] Bình luận phản hồi lồng nhau đa cấp (Nested Reply Comments)</t>
  </si>
  <si>
    <t>Tích hợp phân quyền Granular RBAC, bảo vệ chống XSS/SQLi, caching Redis và cơ chế realtime/worker: Hỗ trợ trả lời trực tiếp từng bình luận, thông báo theo cây thảo luận</t>
  </si>
  <si>
    <t>WBS-MOMENTS-0367</t>
  </si>
  <si>
    <t>[Tích Hợp &amp; Bảo Mật] Chỉnh sửa và xóa bài viết Moments có xác nhận an toàn</t>
  </si>
  <si>
    <t>Tích hợp phân quyền Granular RBAC, bảo vệ chống XSS/SQLi, caching Redis và cơ chế realtime/worker: Cho phép tác giả sửa nội dung, xóa bài viết kèm xóa ảnh lưu trữ</t>
  </si>
  <si>
    <t>WBS-MOMENTS-0368</t>
  </si>
  <si>
    <t>[Tích Hợp &amp; Bảo Mật] Khởi tạo Phân ban / Câu lạc bộ chuyên môn trong Hiệp hội</t>
  </si>
  <si>
    <t>Tích hợp phân quyền Granular RBAC, bảo vệ chống XSS/SQLi, caching Redis và cơ chế realtime/worker: Khai báo CLB Bất động sản, CLB Công nghệ, CLB Golf doanh nhân</t>
  </si>
  <si>
    <t>WBS-MOMENTS-0369</t>
  </si>
  <si>
    <t>[Tích Hợp &amp; Bảo Mật] Gia nhập hoặc rời khỏi Câu lạc bộ / Phân ban chuyên môn</t>
  </si>
  <si>
    <t>Tích hợp phân quyền Granular RBAC, bảo vệ chống XSS/SQLi, caching Redis và cơ chế realtime/worker: Hội viên đăng ký tham gia CLB, Thư ký CLB duyệt thành viên mới</t>
  </si>
  <si>
    <t>WBS-MOMENTS-0370</t>
  </si>
  <si>
    <t>[Tích Hợp &amp; Bảo Mật] Ghim bài viết quan trọng (Pin Post) lên đầu bảng tin CLB</t>
  </si>
  <si>
    <t>Tích hợp phân quyền Granular RBAC, bảo vệ chống XSS/SQLi, caching Redis và cơ chế realtime/worker: Trưởng ban ghim thông báo đại hội, nghị quyết hoặc quy chế hoạt động</t>
  </si>
  <si>
    <t>WBS-MOMENTS-0371</t>
  </si>
  <si>
    <t>[Tích Hợp &amp; Bảo Mật] Kiểm duyệt bài viết tự động chống ngôn từ tiêu cực bằng AI</t>
  </si>
  <si>
    <t>Tích hợp phân quyền Granular RBAC, bảo vệ chống XSS/SQLi, caching Redis và cơ chế realtime/worker: Quét nội dung bài viết trước khi xuất bản, gắn cờ bài vi phạm</t>
  </si>
  <si>
    <t>WBS-MOMENTS-0372</t>
  </si>
  <si>
    <t>[Tích Hợp &amp; Bảo Mật] Xem ảnh phóng to toàn màn hình dạng Lightbox có vuốt chạm</t>
  </si>
  <si>
    <t>Tích hợp phân quyền Granular RBAC, bảo vệ chống XSS/SQLi, caching Redis và cơ chế realtime/worker: Hỗ trợ cử chỉ chạm vuốt sang ảnh kế tiếp trên màn hình di động</t>
  </si>
  <si>
    <t>WBS-MOMENTS-0373</t>
  </si>
  <si>
    <t>[Tích Hợp &amp; Bảo Mật] Chia sẻ bài viết ra mạng xã hội ngoài (LinkedIn, Facebook)</t>
  </si>
  <si>
    <t>Tích hợp phân quyền Granular RBAC, bảo vệ chống XSS/SQLi, caching Redis và cơ chế realtime/worker: Tự động tạo OpenGraph meta tag hình ảnh và tiêu đề chuẩn SEO</t>
  </si>
  <si>
    <t>WBS-MOMENTS-0374</t>
  </si>
  <si>
    <t>[Tích Hợp &amp; Bảo Mật] Báo cáo bài viết vi phạm đạo đức thương mại (Report Post)</t>
  </si>
  <si>
    <t>Tích hợp phân quyền Granular RBAC, bảo vệ chống XSS/SQLi, caching Redis và cơ chế realtime/worker: Gửi bài viết kèm lý do vi phạm đến hàng đợi kiểm duyệt ban thư ký</t>
  </si>
  <si>
    <t>WBS-MOMENTS-0375</t>
  </si>
  <si>
    <t>[Tích Hợp &amp; Bảo Mật] Khảo sát ý kiến nhanh trên bảng tin (Poll Voting in Feed)</t>
  </si>
  <si>
    <t>Tích hợp phân quyền Granular RBAC, bảo vệ chống XSS/SQLi, caching Redis và cơ chế realtime/worker: Tạo câu hỏi thăm dò ý kiến 4 lựa chọn, biểu đồ kết quả trực tiếp</t>
  </si>
  <si>
    <t>WBS-MOMENTS-0376</t>
  </si>
  <si>
    <t>[Tích Hợp &amp; Bảo Mật] Thông báo đẩy (Push Notification) khi có người tương tác bài</t>
  </si>
  <si>
    <t>Tích hợp phân quyền Granular RBAC, bảo vệ chống XSS/SQLi, caching Redis và cơ chế realtime/worker: Gửi push notification tới điện thoại khi có bình luận hoặc nhắc tên</t>
  </si>
  <si>
    <t>WBS-MOMENTS-0377</t>
  </si>
  <si>
    <t>[Tích Hợp &amp; Bảo Mật] Xem bảng tin riêng của từng Câu lạc bộ chuyên môn</t>
  </si>
  <si>
    <t>Tích hợp phân quyền Granular RBAC, bảo vệ chống XSS/SQLi, caching Redis và cơ chế realtime/worker: Lọc luồng tin tức độc quyền chỉ dành riêng cho thành viên câu lạc bộ</t>
  </si>
  <si>
    <t>WBS-MOMENTS-0378</t>
  </si>
  <si>
    <t>[Tích Hợp &amp; Bảo Mật] Quản lý vai trò Trưởng Ban, Phó Ban, Thư Ký trong Câu lạc bộ</t>
  </si>
  <si>
    <t>Tích hợp phân quyền Granular RBAC, bảo vệ chống XSS/SQLi, caching Redis và cơ chế realtime/worker: Phân quyền quản trị câu lạc bộ độc lập với quyền hiệp hội chính</t>
  </si>
  <si>
    <t>WBS-MOMENTS-0379</t>
  </si>
  <si>
    <t>[Tích Hợp &amp; Bảo Mật] Lưu bài viết vào bộ sưu tập ưa thích (Saved Moments)</t>
  </si>
  <si>
    <t>Tích hợp phân quyền Granular RBAC, bảo vệ chống XSS/SQLi, caching Redis và cơ chế realtime/worker: Tạo bookmark lưu giữ các bài chia sẻ kinh nghiệm quý giá</t>
  </si>
  <si>
    <t>WBS-MOMENTS-0380</t>
  </si>
  <si>
    <t>[Tích Hợp &amp; Bảo Mật] Thống kê tương tác bài viết (Lượt xem, tiếp cận, chia sẻ)</t>
  </si>
  <si>
    <t>Tích hợp phân quyền Granular RBAC, bảo vệ chống XSS/SQLi, caching Redis và cơ chế realtime/worker: Báo cáo hiệu quả lan tỏa bài viết của doanh nghiệp trên bảng tin</t>
  </si>
  <si>
    <t>WBS-MOMENTS-0381</t>
  </si>
  <si>
    <t>Bảng Tin Giao Thương &amp; Cộng Đồng [Giai đoạn: Kiểm Thử Tự Động Toàn Diện E2E, Hiệu Năng &amp; Nghiệm Thu UAT]</t>
  </si>
  <si>
    <t>[Kiểm Thử E2E &amp; UAT] Đăng bài khoảnh khắc giao thương đa ảnh chuẩn Facebook-grade</t>
  </si>
  <si>
    <t>Kiểm thử hộp đen/hộp trắng toàn diện, kiểm tra tải đồng thời, đối soát dữ liệu và nghiệm thu Ban Lãnh Đạo: Cho phép tải tối đa 6 ảnh chất lượng cao, xóa ảnh, nén ảnh client</t>
  </si>
  <si>
    <t>WBS-MOMENTS-0382</t>
  </si>
  <si>
    <t>[Kiểm Thử E2E &amp; UAT] Gắn thẻ đối tác doanh nghiệp (@mention) trong bài viết</t>
  </si>
  <si>
    <t>Kiểm thử hộp đen/hộp trắng toàn diện, kiểm tra tải đồng thời, đối soát dữ liệu và nghiệm thu Ban Lãnh Đạo: Tìm kiếm nhanh doanh nhân trong mạng lưới, gửi thông báo tức thì</t>
  </si>
  <si>
    <t>WBS-MOMENTS-0383</t>
  </si>
  <si>
    <t>[Kiểm Thử E2E &amp; UAT] Gắn địa điểm check-in tại hội trường, khách sạn, sân golf</t>
  </si>
  <si>
    <t>Kiểm thử hộp đen/hộp trắng toàn diện, kiểm tra tải đồng thời, đối soát dữ liệu và nghiệm thu Ban Lãnh Đạo: Tìm kiếm địa điểm thực tế, lưu trữ tọa độ kinh độ/vĩ độ GPS</t>
  </si>
  <si>
    <t>WBS-MOMENTS-0384</t>
  </si>
  <si>
    <t>[Kiểm Thử E2E &amp; UAT] Tương tác thả cảm xúc B2B (Thích, Bắt tay, Hợp tác, Vinh danh)</t>
  </si>
  <si>
    <t>Kiểm thử hộp đen/hộp trắng toàn diện, kiểm tra tải đồng thời, đối soát dữ liệu và nghiệm thu Ban Lãnh Đạo: Hỗ trợ 5 biểu tượng cảm xúc chuyên biệt cho giới doanh nhân</t>
  </si>
  <si>
    <t>WBS-MOMENTS-0385</t>
  </si>
  <si>
    <t>[Kiểm Thử E2E &amp; UAT] Bình luận bài viết đính kèm hình ảnh tài liệu hợp tác</t>
  </si>
  <si>
    <t>Kiểm thử hộp đen/hộp trắng toàn diện, kiểm tra tải đồng thời, đối soát dữ liệu và nghiệm thu Ban Lãnh Đạo: Bình luận trao đổi cơ hội, xem trước ảnh và mở Lightbox phóng to</t>
  </si>
  <si>
    <t>WBS-MOMENTS-0386</t>
  </si>
  <si>
    <t>[Kiểm Thử E2E &amp; UAT] Bình luận phản hồi lồng nhau đa cấp (Nested Reply Comments)</t>
  </si>
  <si>
    <t>Kiểm thử hộp đen/hộp trắng toàn diện, kiểm tra tải đồng thời, đối soát dữ liệu và nghiệm thu Ban Lãnh Đạo: Hỗ trợ trả lời trực tiếp từng bình luận, thông báo theo cây thảo luận</t>
  </si>
  <si>
    <t>WBS-MOMENTS-0387</t>
  </si>
  <si>
    <t>[Kiểm Thử E2E &amp; UAT] Chỉnh sửa và xóa bài viết Moments có xác nhận an toàn</t>
  </si>
  <si>
    <t>Kiểm thử hộp đen/hộp trắng toàn diện, kiểm tra tải đồng thời, đối soát dữ liệu và nghiệm thu Ban Lãnh Đạo: Cho phép tác giả sửa nội dung, xóa bài viết kèm xóa ảnh lưu trữ</t>
  </si>
  <si>
    <t>WBS-MOMENTS-0388</t>
  </si>
  <si>
    <t>[Kiểm Thử E2E &amp; UAT] Khởi tạo Phân ban / Câu lạc bộ chuyên môn trong Hiệp hội</t>
  </si>
  <si>
    <t>Kiểm thử hộp đen/hộp trắng toàn diện, kiểm tra tải đồng thời, đối soát dữ liệu và nghiệm thu Ban Lãnh Đạo: Khai báo CLB Bất động sản, CLB Công nghệ, CLB Golf doanh nhân</t>
  </si>
  <si>
    <t>WBS-MOMENTS-0389</t>
  </si>
  <si>
    <t>[Kiểm Thử E2E &amp; UAT] Gia nhập hoặc rời khỏi Câu lạc bộ / Phân ban chuyên môn</t>
  </si>
  <si>
    <t>Kiểm thử hộp đen/hộp trắng toàn diện, kiểm tra tải đồng thời, đối soát dữ liệu và nghiệm thu Ban Lãnh Đạo: Hội viên đăng ký tham gia CLB, Thư ký CLB duyệt thành viên mới</t>
  </si>
  <si>
    <t>WBS-MOMENTS-0390</t>
  </si>
  <si>
    <t>[Kiểm Thử E2E &amp; UAT] Ghim bài viết quan trọng (Pin Post) lên đầu bảng tin CLB</t>
  </si>
  <si>
    <t>Kiểm thử hộp đen/hộp trắng toàn diện, kiểm tra tải đồng thời, đối soát dữ liệu và nghiệm thu Ban Lãnh Đạo: Trưởng ban ghim thông báo đại hội, nghị quyết hoặc quy chế hoạt động</t>
  </si>
  <si>
    <t>WBS-MOMENTS-0391</t>
  </si>
  <si>
    <t>[Kiểm Thử E2E &amp; UAT] Kiểm duyệt bài viết tự động chống ngôn từ tiêu cực bằng AI</t>
  </si>
  <si>
    <t>Kiểm thử hộp đen/hộp trắng toàn diện, kiểm tra tải đồng thời, đối soát dữ liệu và nghiệm thu Ban Lãnh Đạo: Quét nội dung bài viết trước khi xuất bản, gắn cờ bài vi phạm</t>
  </si>
  <si>
    <t>WBS-MOMENTS-0392</t>
  </si>
  <si>
    <t>[Kiểm Thử E2E &amp; UAT] Xem ảnh phóng to toàn màn hình dạng Lightbox có vuốt chạm</t>
  </si>
  <si>
    <t>Kiểm thử hộp đen/hộp trắng toàn diện, kiểm tra tải đồng thời, đối soát dữ liệu và nghiệm thu Ban Lãnh Đạo: Hỗ trợ cử chỉ chạm vuốt sang ảnh kế tiếp trên màn hình di động</t>
  </si>
  <si>
    <t>WBS-MOMENTS-0393</t>
  </si>
  <si>
    <t>[Kiểm Thử E2E &amp; UAT] Chia sẻ bài viết ra mạng xã hội ngoài (LinkedIn, Facebook)</t>
  </si>
  <si>
    <t>Kiểm thử hộp đen/hộp trắng toàn diện, kiểm tra tải đồng thời, đối soát dữ liệu và nghiệm thu Ban Lãnh Đạo: Tự động tạo OpenGraph meta tag hình ảnh và tiêu đề chuẩn SEO</t>
  </si>
  <si>
    <t>WBS-MOMENTS-0394</t>
  </si>
  <si>
    <t>[Kiểm Thử E2E &amp; UAT] Báo cáo bài viết vi phạm đạo đức thương mại (Report Post)</t>
  </si>
  <si>
    <t>Kiểm thử hộp đen/hộp trắng toàn diện, kiểm tra tải đồng thời, đối soát dữ liệu và nghiệm thu Ban Lãnh Đạo: Gửi bài viết kèm lý do vi phạm đến hàng đợi kiểm duyệt ban thư ký</t>
  </si>
  <si>
    <t>WBS-MOMENTS-0395</t>
  </si>
  <si>
    <t>[Kiểm Thử E2E &amp; UAT] Khảo sát ý kiến nhanh trên bảng tin (Poll Voting in Feed)</t>
  </si>
  <si>
    <t>Kiểm thử hộp đen/hộp trắng toàn diện, kiểm tra tải đồng thời, đối soát dữ liệu và nghiệm thu Ban Lãnh Đạo: Tạo câu hỏi thăm dò ý kiến 4 lựa chọn, biểu đồ kết quả trực tiếp</t>
  </si>
  <si>
    <t>WBS-MOMENTS-0396</t>
  </si>
  <si>
    <t>[Kiểm Thử E2E &amp; UAT] Thông báo đẩy (Push Notification) khi có người tương tác bài</t>
  </si>
  <si>
    <t>Kiểm thử hộp đen/hộp trắng toàn diện, kiểm tra tải đồng thời, đối soát dữ liệu và nghiệm thu Ban Lãnh Đạo: Gửi push notification tới điện thoại khi có bình luận hoặc nhắc tên</t>
  </si>
  <si>
    <t>WBS-MOMENTS-0397</t>
  </si>
  <si>
    <t>[Kiểm Thử E2E &amp; UAT] Xem bảng tin riêng của từng Câu lạc bộ chuyên môn</t>
  </si>
  <si>
    <t>Kiểm thử hộp đen/hộp trắng toàn diện, kiểm tra tải đồng thời, đối soát dữ liệu và nghiệm thu Ban Lãnh Đạo: Lọc luồng tin tức độc quyền chỉ dành riêng cho thành viên câu lạc bộ</t>
  </si>
  <si>
    <t>WBS-MOMENTS-0398</t>
  </si>
  <si>
    <t>[Kiểm Thử E2E &amp; UAT] Quản lý vai trò Trưởng Ban, Phó Ban, Thư Ký trong Câu lạc bộ</t>
  </si>
  <si>
    <t>Kiểm thử hộp đen/hộp trắng toàn diện, kiểm tra tải đồng thời, đối soát dữ liệu và nghiệm thu Ban Lãnh Đạo: Phân quyền quản trị câu lạc bộ độc lập với quyền hiệp hội chính</t>
  </si>
  <si>
    <t>WBS-MOMENTS-0399</t>
  </si>
  <si>
    <t>[Kiểm Thử E2E &amp; UAT] Lưu bài viết vào bộ sưu tập ưa thích (Saved Moments)</t>
  </si>
  <si>
    <t>Kiểm thử hộp đen/hộp trắng toàn diện, kiểm tra tải đồng thời, đối soát dữ liệu và nghiệm thu Ban Lãnh Đạo: Tạo bookmark lưu giữ các bài chia sẻ kinh nghiệm quý giá</t>
  </si>
  <si>
    <t>WBS-MOMENTS-0400</t>
  </si>
  <si>
    <t>[Kiểm Thử E2E &amp; UAT] Thống kê tương tác bài viết (Lượt xem, tiếp cận, chia sẻ)</t>
  </si>
  <si>
    <t>Kiểm thử hộp đen/hộp trắng toàn diện, kiểm tra tải đồng thời, đối soát dữ liệu và nghiệm thu Ban Lãnh Đạo: Báo cáo hiệu quả lan tỏa bài viết của doanh nghiệp trên bảng tin</t>
  </si>
  <si>
    <t>VIONE MASTER WBS: NHẮN TIN REALTIME &amp; HỌP TRỰC TUYẾN VIDEO CALL</t>
  </si>
  <si>
    <t>WBS-CHAT_CALL-0401</t>
  </si>
  <si>
    <t>Giao Tiếp Realtime &amp; Họp Trực Tuyến [Giai đoạn: Khởi Tạo, Phân Tích Nghiệp Vụ &amp; Mô Hình Dữ Liệu]</t>
  </si>
  <si>
    <t>[Kiến Trúc &amp; Schema] Kênh chat 1-on-1 thời gian thực qua WebSocket Gateway</t>
  </si>
  <si>
    <t>Phân tích yêu cầu nghiệp vụ, thiết kế bảng dữ liệu CSDL PostgreSQL, đặc tả API RESTful và luồng nghiệp vụ chi tiết cho: Độ trễ dưới 0.05 giây, âm thanh thông báo sang trọng, gõ phím realtime</t>
  </si>
  <si>
    <t>/chat/:peerId</t>
  </si>
  <si>
    <t>Socket.IO / Supabase Realtime</t>
  </si>
  <si>
    <t>WBS-CHAT_CALL-0402</t>
  </si>
  <si>
    <t>[Kiến Trúc &amp; Schema] Nhắn tin nhóm thảo luận theo Dự án / Phân ban Hiệp hội</t>
  </si>
  <si>
    <t>Phân tích yêu cầu nghiệp vụ, thiết kế bảng dữ liệu CSDL PostgreSQL, đặc tả API RESTful và luồng nghiệp vụ chi tiết cho: Tạo nhóm chat đến 200 lãnh đạo doanh nghiệp, phân quyền Admin nhóm</t>
  </si>
  <si>
    <t>/chat/group</t>
  </si>
  <si>
    <t>Group Channel Multiplexing</t>
  </si>
  <si>
    <t>WBS-CHAT_CALL-0403</t>
  </si>
  <si>
    <t>[Kiến Trúc &amp; Schema] Gửi tài liệu hợp đồng, bảng báo giá PDF/Excel đến 50MB</t>
  </si>
  <si>
    <t>Phân tích yêu cầu nghiệp vụ, thiết kế bảng dữ liệu CSDL PostgreSQL, đặc tả API RESTful và luồng nghiệp vụ chi tiết cho: Hỗ trợ kéo thả gửi tệp tin văn bản, xem trước trực tiếp trên giao diện</t>
  </si>
  <si>
    <t>/chat/upload-docs</t>
  </si>
  <si>
    <t>Virus Scanning &amp; S3 Storage</t>
  </si>
  <si>
    <t>WBS-CHAT_CALL-0404</t>
  </si>
  <si>
    <t>[Kiến Trúc &amp; Schema] Ghi âm và gửi tin nhắn thoại (Voice Note) chất lượng cao</t>
  </si>
  <si>
    <t>Phân tích yêu cầu nghiệp vụ, thiết kế bảng dữ liệu CSDL PostgreSQL, đặc tả API RESTful và luồng nghiệp vụ chi tiết cho: Thu âm trực tiếp trên trình duyệt, nén âm thanh định dạng AAC/Opus</t>
  </si>
  <si>
    <t>/chat/voice-note</t>
  </si>
  <si>
    <t>MediaRecorder API Audio</t>
  </si>
  <si>
    <t>WBS-CHAT_CALL-0405</t>
  </si>
  <si>
    <t>[Kiến Trúc &amp; Schema] Hiển thị trạng thái đã nhận, đã xem tin nhắn (Read Receipts)</t>
  </si>
  <si>
    <t>Phân tích yêu cầu nghiệp vụ, thiết kế bảng dữ liệu CSDL PostgreSQL, đặc tả API RESTful và luồng nghiệp vụ chi tiết cho: Cập nhật dấu tích xanh khi đối tác mở xem tin nhắn trong phòng chat</t>
  </si>
  <si>
    <t>/chat/read-receipts</t>
  </si>
  <si>
    <t>Delivered &amp; Seen Events</t>
  </si>
  <si>
    <t>WBS-CHAT_CALL-0406</t>
  </si>
  <si>
    <t>[Kiến Trúc &amp; Schema] Tìm kiếm nội dung tin nhắn và tệp đính kèm trong lịch sử chat</t>
  </si>
  <si>
    <t>Phân tích yêu cầu nghiệp vụ, thiết kế bảng dữ liệu CSDL PostgreSQL, đặc tả API RESTful và luồng nghiệp vụ chi tiết cho: Tìm kiếm từ khóa đàm phán hợp đồng, lọc theo tệp tin và hình ảnh</t>
  </si>
  <si>
    <t>/chat/search-history</t>
  </si>
  <si>
    <t>Chat Message Indexing</t>
  </si>
  <si>
    <t>WBS-CHAT_CALL-0407</t>
  </si>
  <si>
    <t>[Kiến Trúc &amp; Schema] Cuộc gọi thoại (Audio Call) chất lượng cao qua WebRTC</t>
  </si>
  <si>
    <t>Phân tích yêu cầu nghiệp vụ, thiết kế bảng dữ liệu CSDL PostgreSQL, đặc tả API RESTful và luồng nghiệp vụ chi tiết cho: Kết nối thoại P2P mã hóa đầu cuối, âm thanh chuẩn HD rõ nét</t>
  </si>
  <si>
    <t>/call/audio</t>
  </si>
  <si>
    <t>WebRTC PeerConnection Audio</t>
  </si>
  <si>
    <t>WBS-CHAT_CALL-0408</t>
  </si>
  <si>
    <t>[Kiến Trúc &amp; Schema] Cuộc gọi Video 1-on-1 trực tiếp bảo mật giữa 2 doanh nhân</t>
  </si>
  <si>
    <t>Phân tích yêu cầu nghiệp vụ, thiết kế bảng dữ liệu CSDL PostgreSQL, đặc tả API RESTful và luồng nghiệp vụ chi tiết cho: Truyền hình ảnh Full HD 1080p, tự động điều chỉnh bitrate khi mạng yếu</t>
  </si>
  <si>
    <t>/call/video-1on1</t>
  </si>
  <si>
    <t>WebRTC Adaptive Bitrate</t>
  </si>
  <si>
    <t>WBS-CHAT_CALL-0409</t>
  </si>
  <si>
    <t>[Kiến Trúc &amp; Schema] Họp trực tuyến nhiều bên (Video Conference Room) Ban Chấp Hành</t>
  </si>
  <si>
    <t>Phân tích yêu cầu nghiệp vụ, thiết kế bảng dữ liệu CSDL PostgreSQL, đặc tả API RESTful và luồng nghiệp vụ chi tiết cho: Hỗ trợ phòng họp đến 16 đại biểu, hiển thị lưới Grid thông minh</t>
  </si>
  <si>
    <t>/call/conference</t>
  </si>
  <si>
    <t>SFU Media Server Integration</t>
  </si>
  <si>
    <t>WBS-CHAT_CALL-0410</t>
  </si>
  <si>
    <t>[Kiến Trúc &amp; Schema] Chia sẻ màn hình máy tính (Screen Sharing) khi thuyết trình dự án</t>
  </si>
  <si>
    <t>Phân tích yêu cầu nghiệp vụ, thiết kế bảng dữ liệu CSDL PostgreSQL, đặc tả API RESTful và luồng nghiệp vụ chi tiết cho: Cho phép chia sẻ slide thuyết trình, bảng tính Excel trong cuộc gọi</t>
  </si>
  <si>
    <t>/call/screen-share</t>
  </si>
  <si>
    <t>Diễn Giả</t>
  </si>
  <si>
    <t>getDisplayMedia Web API</t>
  </si>
  <si>
    <t>WBS-CHAT_CALL-0411</t>
  </si>
  <si>
    <t>[Kiến Trúc &amp; Schema] Tính năng giơ tay phát biểu trong phòng họp trực tuyến</t>
  </si>
  <si>
    <t>Phân tích yêu cầu nghiệp vụ, thiết kế bảng dữ liệu CSDL PostgreSQL, đặc tả API RESTful và luồng nghiệp vụ chi tiết cho: Đại biểu bấm giơ tay, chủ tọa nhận thông báo và cấp quyền mở mic</t>
  </si>
  <si>
    <t>/call/raise-hand</t>
  </si>
  <si>
    <t>Đại Biểu</t>
  </si>
  <si>
    <t>Floor Control Signaling</t>
  </si>
  <si>
    <t>WBS-CHAT_CALL-0412</t>
  </si>
  <si>
    <t>[Kiến Trúc &amp; Schema] Ghi âm và lưu trữ biên bản cuộc họp trực tuyến lên đám mây</t>
  </si>
  <si>
    <t>Phân tích yêu cầu nghiệp vụ, thiết kế bảng dữ liệu CSDL PostgreSQL, đặc tả API RESTful và luồng nghiệp vụ chi tiết cho: Lưu file MP4/WebM cuộc họp lên MinIO phục vụ lưu trữ văn kiện</t>
  </si>
  <si>
    <t>/call/recording</t>
  </si>
  <si>
    <t>Thư Ký Cuộc Họp</t>
  </si>
  <si>
    <t>Server-side Media Recorder</t>
  </si>
  <si>
    <t>WBS-CHAT_CALL-0413</t>
  </si>
  <si>
    <t>[Kiến Trúc &amp; Schema] Bật/Tắt Micro và Camera với phím tắt bàn phím tiện lợi</t>
  </si>
  <si>
    <t>Phân tích yêu cầu nghiệp vụ, thiết kế bảng dữ liệu CSDL PostgreSQL, đặc tả API RESTful và luồng nghiệp vụ chi tiết cho: Phím Space để mở mic nói nhanh (Push-to-Talk), phím M để mute</t>
  </si>
  <si>
    <t>/call/hotkeys</t>
  </si>
  <si>
    <t>Keyboard Shortcuts Hook</t>
  </si>
  <si>
    <t>WBS-CHAT_CALL-0414</t>
  </si>
  <si>
    <t>[Kiến Trúc &amp; Schema] Lọc tiếng ồn và khử tiếng vọng thông minh bằng Web Audio API</t>
  </si>
  <si>
    <t>Phân tích yêu cầu nghiệp vụ, thiết kế bảng dữ liệu CSDL PostgreSQL, đặc tả API RESTful và luồng nghiệp vụ chi tiết cho: Loại bỏ tiếng ồn nền quạt gió, tiếng gõ phím trong khi đàm thoại</t>
  </si>
  <si>
    <t>/call/noise-suppression</t>
  </si>
  <si>
    <t>Web Audio Noise Gate</t>
  </si>
  <si>
    <t>WBS-CHAT_CALL-0415</t>
  </si>
  <si>
    <t>[Kiến Trúc &amp; Schema] Đổi hình nền ảo (Virtual Background) che không gian phía sau</t>
  </si>
  <si>
    <t>Phân tích yêu cầu nghiệp vụ, thiết kế bảng dữ liệu CSDL PostgreSQL, đặc tả API RESTful và luồng nghiệp vụ chi tiết cho: Sử dụng mô hình nhận diện khuôn mặt tách nền và thay bằng ảnh phòng họp</t>
  </si>
  <si>
    <t>/call/virtual-background</t>
  </si>
  <si>
    <t>TensorFlow.js BodyPix</t>
  </si>
  <si>
    <t>WBS-CHAT_CALL-0416</t>
  </si>
  <si>
    <t>[Kiến Trúc &amp; Schema] Phòng chờ kiểm duyệt đại biểu vào họp (Waiting Room)</t>
  </si>
  <si>
    <t>Phân tích yêu cầu nghiệp vụ, thiết kế bảng dữ liệu CSDL PostgreSQL, đặc tả API RESTful và luồng nghiệp vụ chi tiết cho: Khách bấm tham gia họp phải chờ Chủ tọa duyệt mới được vào phòng</t>
  </si>
  <si>
    <t>/call/waiting-room</t>
  </si>
  <si>
    <t>Chủ Tọa Cuộc Họp</t>
  </si>
  <si>
    <t>Waiting Room Gatekeeper</t>
  </si>
  <si>
    <t>WBS-CHAT_CALL-0417</t>
  </si>
  <si>
    <t>[Kiến Trúc &amp; Schema] Mã hóa đầu cuối cuộc gọi (End-to-End Encryption E2EE)</t>
  </si>
  <si>
    <t>Phân tích yêu cầu nghiệp vụ, thiết kế bảng dữ liệu CSDL PostgreSQL, đặc tả API RESTful và luồng nghiệp vụ chi tiết cho: Mã hóa luồng âm thanh và hình ảnh bằng thuật toán AES-GCM</t>
  </si>
  <si>
    <t>/call/e2ee</t>
  </si>
  <si>
    <t>WebRTC Insertable Streams</t>
  </si>
  <si>
    <t>WBS-CHAT_CALL-0418</t>
  </si>
  <si>
    <t>[Kiến Trúc &amp; Schema] Hộp chat song song trong cuộc họp trực tuyến (In-call Chat)</t>
  </si>
  <si>
    <t>Phân tích yêu cầu nghiệp vụ, thiết kế bảng dữ liệu CSDL PostgreSQL, đặc tả API RESTful và luồng nghiệp vụ chi tiết cho: Trao đổi tin nhắn văn bản và liên kết tài liệu trong khi đang họp</t>
  </si>
  <si>
    <t>/call/in-call-chat</t>
  </si>
  <si>
    <t>Người Dự Họp</t>
  </si>
  <si>
    <t>DataChannel In-call Chat</t>
  </si>
  <si>
    <t>WBS-CHAT_CALL-0419</t>
  </si>
  <si>
    <t>[Kiến Trúc &amp; Schema] Tự động kết nối lại cuộc gọi khi mạng rớt chập chờn (ICE Restart)</t>
  </si>
  <si>
    <t>Phân tích yêu cầu nghiệp vụ, thiết kế bảng dữ liệu CSDL PostgreSQL, đặc tả API RESTful và luồng nghiệp vụ chi tiết cho: Tự động tái tạo bắt tay WebRTC trong 2 giây khi đổi mạng 4G/Wifi</t>
  </si>
  <si>
    <t>/call/reconnect</t>
  </si>
  <si>
    <t>ICE Restart Reconnection</t>
  </si>
  <si>
    <t>WBS-CHAT_CALL-0420</t>
  </si>
  <si>
    <t>[Kiến Trúc &amp; Schema] Báo cáo thống kê thời lượng và số lượt họp trực tuyến</t>
  </si>
  <si>
    <t>Phân tích yêu cầu nghiệp vụ, thiết kế bảng dữ liệu CSDL PostgreSQL, đặc tả API RESTful và luồng nghiệp vụ chi tiết cho: Tổng kết số giờ họp của Ban Lãnh Đạo và các phân ban theo tháng</t>
  </si>
  <si>
    <t>/call/analytics</t>
  </si>
  <si>
    <t>Meeting Stats Aggregator</t>
  </si>
  <si>
    <t>WBS-CHAT_CALL-0421</t>
  </si>
  <si>
    <t>Giao Tiếp Realtime &amp; Họp Trực Tuyến [Giai đoạn: Xây Dựng Giao Diện Người Dùng Frontend (Desktop &amp; Mobile)]</t>
  </si>
  <si>
    <t>[Giao Diện Frontend] Kênh chat 1-on-1 thời gian thực qua WebSocket Gateway</t>
  </si>
  <si>
    <t>Phát triển giao diện React/Tailwind, tối ưu hóa responsive di động, xử lý trạng thái loading/error/empty state: Độ trễ dưới 0.05 giây, âm thanh thông báo sang trọng, gõ phím realtime</t>
  </si>
  <si>
    <t>WBS-CHAT_CALL-0422</t>
  </si>
  <si>
    <t>[Giao Diện Frontend] Nhắn tin nhóm thảo luận theo Dự án / Phân ban Hiệp hội</t>
  </si>
  <si>
    <t>Phát triển giao diện React/Tailwind, tối ưu hóa responsive di động, xử lý trạng thái loading/error/empty state: Tạo nhóm chat đến 200 lãnh đạo doanh nghiệp, phân quyền Admin nhóm</t>
  </si>
  <si>
    <t>WBS-CHAT_CALL-0423</t>
  </si>
  <si>
    <t>[Giao Diện Frontend] Gửi tài liệu hợp đồng, bảng báo giá PDF/Excel đến 50MB</t>
  </si>
  <si>
    <t>Phát triển giao diện React/Tailwind, tối ưu hóa responsive di động, xử lý trạng thái loading/error/empty state: Hỗ trợ kéo thả gửi tệp tin văn bản, xem trước trực tiếp trên giao diện</t>
  </si>
  <si>
    <t>WBS-CHAT_CALL-0424</t>
  </si>
  <si>
    <t>[Giao Diện Frontend] Ghi âm và gửi tin nhắn thoại (Voice Note) chất lượng cao</t>
  </si>
  <si>
    <t>Phát triển giao diện React/Tailwind, tối ưu hóa responsive di động, xử lý trạng thái loading/error/empty state: Thu âm trực tiếp trên trình duyệt, nén âm thanh định dạng AAC/Opus</t>
  </si>
  <si>
    <t>WBS-CHAT_CALL-0425</t>
  </si>
  <si>
    <t>[Giao Diện Frontend] Hiển thị trạng thái đã nhận, đã xem tin nhắn (Read Receipts)</t>
  </si>
  <si>
    <t>Phát triển giao diện React/Tailwind, tối ưu hóa responsive di động, xử lý trạng thái loading/error/empty state: Cập nhật dấu tích xanh khi đối tác mở xem tin nhắn trong phòng chat</t>
  </si>
  <si>
    <t>WBS-CHAT_CALL-0426</t>
  </si>
  <si>
    <t>[Giao Diện Frontend] Tìm kiếm nội dung tin nhắn và tệp đính kèm trong lịch sử chat</t>
  </si>
  <si>
    <t>Phát triển giao diện React/Tailwind, tối ưu hóa responsive di động, xử lý trạng thái loading/error/empty state: Tìm kiếm từ khóa đàm phán hợp đồng, lọc theo tệp tin và hình ảnh</t>
  </si>
  <si>
    <t>WBS-CHAT_CALL-0427</t>
  </si>
  <si>
    <t>[Giao Diện Frontend] Cuộc gọi thoại (Audio Call) chất lượng cao qua WebRTC</t>
  </si>
  <si>
    <t>Phát triển giao diện React/Tailwind, tối ưu hóa responsive di động, xử lý trạng thái loading/error/empty state: Kết nối thoại P2P mã hóa đầu cuối, âm thanh chuẩn HD rõ nét</t>
  </si>
  <si>
    <t>WBS-CHAT_CALL-0428</t>
  </si>
  <si>
    <t>[Giao Diện Frontend] Cuộc gọi Video 1-on-1 trực tiếp bảo mật giữa 2 doanh nhân</t>
  </si>
  <si>
    <t>Phát triển giao diện React/Tailwind, tối ưu hóa responsive di động, xử lý trạng thái loading/error/empty state: Truyền hình ảnh Full HD 1080p, tự động điều chỉnh bitrate khi mạng yếu</t>
  </si>
  <si>
    <t>WBS-CHAT_CALL-0429</t>
  </si>
  <si>
    <t>[Giao Diện Frontend] Họp trực tuyến nhiều bên (Video Conference Room) Ban Chấp Hành</t>
  </si>
  <si>
    <t>Phát triển giao diện React/Tailwind, tối ưu hóa responsive di động, xử lý trạng thái loading/error/empty state: Hỗ trợ phòng họp đến 16 đại biểu, hiển thị lưới Grid thông minh</t>
  </si>
  <si>
    <t>WBS-CHAT_CALL-0430</t>
  </si>
  <si>
    <t>[Giao Diện Frontend] Chia sẻ màn hình máy tính (Screen Sharing) khi thuyết trình dự án</t>
  </si>
  <si>
    <t>Phát triển giao diện React/Tailwind, tối ưu hóa responsive di động, xử lý trạng thái loading/error/empty state: Cho phép chia sẻ slide thuyết trình, bảng tính Excel trong cuộc gọi</t>
  </si>
  <si>
    <t>WBS-CHAT_CALL-0431</t>
  </si>
  <si>
    <t>[Giao Diện Frontend] Tính năng giơ tay phát biểu trong phòng họp trực tuyến</t>
  </si>
  <si>
    <t>Phát triển giao diện React/Tailwind, tối ưu hóa responsive di động, xử lý trạng thái loading/error/empty state: Đại biểu bấm giơ tay, chủ tọa nhận thông báo và cấp quyền mở mic</t>
  </si>
  <si>
    <t>WBS-CHAT_CALL-0432</t>
  </si>
  <si>
    <t>[Giao Diện Frontend] Ghi âm và lưu trữ biên bản cuộc họp trực tuyến lên đám mây</t>
  </si>
  <si>
    <t>Phát triển giao diện React/Tailwind, tối ưu hóa responsive di động, xử lý trạng thái loading/error/empty state: Lưu file MP4/WebM cuộc họp lên MinIO phục vụ lưu trữ văn kiện</t>
  </si>
  <si>
    <t>WBS-CHAT_CALL-0433</t>
  </si>
  <si>
    <t>[Giao Diện Frontend] Bật/Tắt Micro và Camera với phím tắt bàn phím tiện lợi</t>
  </si>
  <si>
    <t>Phát triển giao diện React/Tailwind, tối ưu hóa responsive di động, xử lý trạng thái loading/error/empty state: Phím Space để mở mic nói nhanh (Push-to-Talk), phím M để mute</t>
  </si>
  <si>
    <t>WBS-CHAT_CALL-0434</t>
  </si>
  <si>
    <t>[Giao Diện Frontend] Lọc tiếng ồn và khử tiếng vọng thông minh bằng Web Audio API</t>
  </si>
  <si>
    <t>Phát triển giao diện React/Tailwind, tối ưu hóa responsive di động, xử lý trạng thái loading/error/empty state: Loại bỏ tiếng ồn nền quạt gió, tiếng gõ phím trong khi đàm thoại</t>
  </si>
  <si>
    <t>WBS-CHAT_CALL-0435</t>
  </si>
  <si>
    <t>[Giao Diện Frontend] Đổi hình nền ảo (Virtual Background) che không gian phía sau</t>
  </si>
  <si>
    <t>Phát triển giao diện React/Tailwind, tối ưu hóa responsive di động, xử lý trạng thái loading/error/empty state: Sử dụng mô hình nhận diện khuôn mặt tách nền và thay bằng ảnh phòng họp</t>
  </si>
  <si>
    <t>WBS-CHAT_CALL-0436</t>
  </si>
  <si>
    <t>[Giao Diện Frontend] Phòng chờ kiểm duyệt đại biểu vào họp (Waiting Room)</t>
  </si>
  <si>
    <t>Phát triển giao diện React/Tailwind, tối ưu hóa responsive di động, xử lý trạng thái loading/error/empty state: Khách bấm tham gia họp phải chờ Chủ tọa duyệt mới được vào phòng</t>
  </si>
  <si>
    <t>WBS-CHAT_CALL-0437</t>
  </si>
  <si>
    <t>[Giao Diện Frontend] Mã hóa đầu cuối cuộc gọi (End-to-End Encryption E2EE)</t>
  </si>
  <si>
    <t>Phát triển giao diện React/Tailwind, tối ưu hóa responsive di động, xử lý trạng thái loading/error/empty state: Mã hóa luồng âm thanh và hình ảnh bằng thuật toán AES-GCM</t>
  </si>
  <si>
    <t>WBS-CHAT_CALL-0438</t>
  </si>
  <si>
    <t>[Giao Diện Frontend] Hộp chat song song trong cuộc họp trực tuyến (In-call Chat)</t>
  </si>
  <si>
    <t>Phát triển giao diện React/Tailwind, tối ưu hóa responsive di động, xử lý trạng thái loading/error/empty state: Trao đổi tin nhắn văn bản và liên kết tài liệu trong khi đang họp</t>
  </si>
  <si>
    <t>WBS-CHAT_CALL-0439</t>
  </si>
  <si>
    <t>[Giao Diện Frontend] Tự động kết nối lại cuộc gọi khi mạng rớt chập chờn (ICE Restart)</t>
  </si>
  <si>
    <t>Phát triển giao diện React/Tailwind, tối ưu hóa responsive di động, xử lý trạng thái loading/error/empty state: Tự động tái tạo bắt tay WebRTC trong 2 giây khi đổi mạng 4G/Wifi</t>
  </si>
  <si>
    <t>WBS-CHAT_CALL-0440</t>
  </si>
  <si>
    <t>[Giao Diện Frontend] Báo cáo thống kê thời lượng và số lượt họp trực tuyến</t>
  </si>
  <si>
    <t>Phát triển giao diện React/Tailwind, tối ưu hóa responsive di động, xử lý trạng thái loading/error/empty state: Tổng kết số giờ họp của Ban Lãnh Đạo và các phân ban theo tháng</t>
  </si>
  <si>
    <t>WBS-CHAT_CALL-0441</t>
  </si>
  <si>
    <t>Giao Tiếp Realtime &amp; Họp Trực Tuyến [Giai đoạn: Xử Lý Logic Nghiệp Vụ Backend API &amp; Cơ Sở Dữ Liệu CSDL]</t>
  </si>
  <si>
    <t>[Logic Backend CSDL] Kênh chat 1-on-1 thời gian thực qua WebSocket Gateway</t>
  </si>
  <si>
    <t>Xây dựng NestJS Controller, Service, Prisma ORM, kiểm tra ràng buộc dữ liệu DTO và xử lý Transaction ACID: Độ trễ dưới 0.05 giây, âm thanh thông báo sang trọng, gõ phím realtime</t>
  </si>
  <si>
    <t>WBS-CHAT_CALL-0442</t>
  </si>
  <si>
    <t>[Logic Backend CSDL] Nhắn tin nhóm thảo luận theo Dự án / Phân ban Hiệp hội</t>
  </si>
  <si>
    <t>Xây dựng NestJS Controller, Service, Prisma ORM, kiểm tra ràng buộc dữ liệu DTO và xử lý Transaction ACID: Tạo nhóm chat đến 200 lãnh đạo doanh nghiệp, phân quyền Admin nhóm</t>
  </si>
  <si>
    <t>WBS-CHAT_CALL-0443</t>
  </si>
  <si>
    <t>[Logic Backend CSDL] Gửi tài liệu hợp đồng, bảng báo giá PDF/Excel đến 50MB</t>
  </si>
  <si>
    <t>Xây dựng NestJS Controller, Service, Prisma ORM, kiểm tra ràng buộc dữ liệu DTO và xử lý Transaction ACID: Hỗ trợ kéo thả gửi tệp tin văn bản, xem trước trực tiếp trên giao diện</t>
  </si>
  <si>
    <t>WBS-CHAT_CALL-0444</t>
  </si>
  <si>
    <t>[Logic Backend CSDL] Ghi âm và gửi tin nhắn thoại (Voice Note) chất lượng cao</t>
  </si>
  <si>
    <t>Xây dựng NestJS Controller, Service, Prisma ORM, kiểm tra ràng buộc dữ liệu DTO và xử lý Transaction ACID: Thu âm trực tiếp trên trình duyệt, nén âm thanh định dạng AAC/Opus</t>
  </si>
  <si>
    <t>WBS-CHAT_CALL-0445</t>
  </si>
  <si>
    <t>[Logic Backend CSDL] Hiển thị trạng thái đã nhận, đã xem tin nhắn (Read Receipts)</t>
  </si>
  <si>
    <t>Xây dựng NestJS Controller, Service, Prisma ORM, kiểm tra ràng buộc dữ liệu DTO và xử lý Transaction ACID: Cập nhật dấu tích xanh khi đối tác mở xem tin nhắn trong phòng chat</t>
  </si>
  <si>
    <t>WBS-CHAT_CALL-0446</t>
  </si>
  <si>
    <t>[Logic Backend CSDL] Tìm kiếm nội dung tin nhắn và tệp đính kèm trong lịch sử chat</t>
  </si>
  <si>
    <t>Xây dựng NestJS Controller, Service, Prisma ORM, kiểm tra ràng buộc dữ liệu DTO và xử lý Transaction ACID: Tìm kiếm từ khóa đàm phán hợp đồng, lọc theo tệp tin và hình ảnh</t>
  </si>
  <si>
    <t>WBS-CHAT_CALL-0447</t>
  </si>
  <si>
    <t>[Logic Backend CSDL] Cuộc gọi thoại (Audio Call) chất lượng cao qua WebRTC</t>
  </si>
  <si>
    <t>Xây dựng NestJS Controller, Service, Prisma ORM, kiểm tra ràng buộc dữ liệu DTO và xử lý Transaction ACID: Kết nối thoại P2P mã hóa đầu cuối, âm thanh chuẩn HD rõ nét</t>
  </si>
  <si>
    <t>WBS-CHAT_CALL-0448</t>
  </si>
  <si>
    <t>[Logic Backend CSDL] Cuộc gọi Video 1-on-1 trực tiếp bảo mật giữa 2 doanh nhân</t>
  </si>
  <si>
    <t>Xây dựng NestJS Controller, Service, Prisma ORM, kiểm tra ràng buộc dữ liệu DTO và xử lý Transaction ACID: Truyền hình ảnh Full HD 1080p, tự động điều chỉnh bitrate khi mạng yếu</t>
  </si>
  <si>
    <t>WBS-CHAT_CALL-0449</t>
  </si>
  <si>
    <t>[Logic Backend CSDL] Họp trực tuyến nhiều bên (Video Conference Room) Ban Chấp Hành</t>
  </si>
  <si>
    <t>Xây dựng NestJS Controller, Service, Prisma ORM, kiểm tra ràng buộc dữ liệu DTO và xử lý Transaction ACID: Hỗ trợ phòng họp đến 16 đại biểu, hiển thị lưới Grid thông minh</t>
  </si>
  <si>
    <t>WBS-CHAT_CALL-0450</t>
  </si>
  <si>
    <t>[Logic Backend CSDL] Chia sẻ màn hình máy tính (Screen Sharing) khi thuyết trình dự án</t>
  </si>
  <si>
    <t>Xây dựng NestJS Controller, Service, Prisma ORM, kiểm tra ràng buộc dữ liệu DTO và xử lý Transaction ACID: Cho phép chia sẻ slide thuyết trình, bảng tính Excel trong cuộc gọi</t>
  </si>
  <si>
    <t>WBS-CHAT_CALL-0451</t>
  </si>
  <si>
    <t>[Logic Backend CSDL] Tính năng giơ tay phát biểu trong phòng họp trực tuyến</t>
  </si>
  <si>
    <t>Xây dựng NestJS Controller, Service, Prisma ORM, kiểm tra ràng buộc dữ liệu DTO và xử lý Transaction ACID: Đại biểu bấm giơ tay, chủ tọa nhận thông báo và cấp quyền mở mic</t>
  </si>
  <si>
    <t>WBS-CHAT_CALL-0452</t>
  </si>
  <si>
    <t>[Logic Backend CSDL] Ghi âm và lưu trữ biên bản cuộc họp trực tuyến lên đám mây</t>
  </si>
  <si>
    <t>Xây dựng NestJS Controller, Service, Prisma ORM, kiểm tra ràng buộc dữ liệu DTO và xử lý Transaction ACID: Lưu file MP4/WebM cuộc họp lên MinIO phục vụ lưu trữ văn kiện</t>
  </si>
  <si>
    <t>WBS-CHAT_CALL-0453</t>
  </si>
  <si>
    <t>[Logic Backend CSDL] Bật/Tắt Micro và Camera với phím tắt bàn phím tiện lợi</t>
  </si>
  <si>
    <t>Xây dựng NestJS Controller, Service, Prisma ORM, kiểm tra ràng buộc dữ liệu DTO và xử lý Transaction ACID: Phím Space để mở mic nói nhanh (Push-to-Talk), phím M để mute</t>
  </si>
  <si>
    <t>WBS-CHAT_CALL-0454</t>
  </si>
  <si>
    <t>[Logic Backend CSDL] Lọc tiếng ồn và khử tiếng vọng thông minh bằng Web Audio API</t>
  </si>
  <si>
    <t>Xây dựng NestJS Controller, Service, Prisma ORM, kiểm tra ràng buộc dữ liệu DTO và xử lý Transaction ACID: Loại bỏ tiếng ồn nền quạt gió, tiếng gõ phím trong khi đàm thoại</t>
  </si>
  <si>
    <t>WBS-CHAT_CALL-0455</t>
  </si>
  <si>
    <t>[Logic Backend CSDL] Đổi hình nền ảo (Virtual Background) che không gian phía sau</t>
  </si>
  <si>
    <t>Xây dựng NestJS Controller, Service, Prisma ORM, kiểm tra ràng buộc dữ liệu DTO và xử lý Transaction ACID: Sử dụng mô hình nhận diện khuôn mặt tách nền và thay bằng ảnh phòng họp</t>
  </si>
  <si>
    <t>WBS-CHAT_CALL-0456</t>
  </si>
  <si>
    <t>[Logic Backend CSDL] Phòng chờ kiểm duyệt đại biểu vào họp (Waiting Room)</t>
  </si>
  <si>
    <t>Xây dựng NestJS Controller, Service, Prisma ORM, kiểm tra ràng buộc dữ liệu DTO và xử lý Transaction ACID: Khách bấm tham gia họp phải chờ Chủ tọa duyệt mới được vào phòng</t>
  </si>
  <si>
    <t>WBS-CHAT_CALL-0457</t>
  </si>
  <si>
    <t>[Logic Backend CSDL] Mã hóa đầu cuối cuộc gọi (End-to-End Encryption E2EE)</t>
  </si>
  <si>
    <t>Xây dựng NestJS Controller, Service, Prisma ORM, kiểm tra ràng buộc dữ liệu DTO và xử lý Transaction ACID: Mã hóa luồng âm thanh và hình ảnh bằng thuật toán AES-GCM</t>
  </si>
  <si>
    <t>WBS-CHAT_CALL-0458</t>
  </si>
  <si>
    <t>[Logic Backend CSDL] Hộp chat song song trong cuộc họp trực tuyến (In-call Chat)</t>
  </si>
  <si>
    <t>Xây dựng NestJS Controller, Service, Prisma ORM, kiểm tra ràng buộc dữ liệu DTO và xử lý Transaction ACID: Trao đổi tin nhắn văn bản và liên kết tài liệu trong khi đang họp</t>
  </si>
  <si>
    <t>WBS-CHAT_CALL-0459</t>
  </si>
  <si>
    <t>[Logic Backend CSDL] Tự động kết nối lại cuộc gọi khi mạng rớt chập chờn (ICE Restart)</t>
  </si>
  <si>
    <t>Xây dựng NestJS Controller, Service, Prisma ORM, kiểm tra ràng buộc dữ liệu DTO và xử lý Transaction ACID: Tự động tái tạo bắt tay WebRTC trong 2 giây khi đổi mạng 4G/Wifi</t>
  </si>
  <si>
    <t>WBS-CHAT_CALL-0460</t>
  </si>
  <si>
    <t>[Logic Backend CSDL] Báo cáo thống kê thời lượng và số lượt họp trực tuyến</t>
  </si>
  <si>
    <t>Xây dựng NestJS Controller, Service, Prisma ORM, kiểm tra ràng buộc dữ liệu DTO và xử lý Transaction ACID: Tổng kết số giờ họp của Ban Lãnh Đạo và các phân ban theo tháng</t>
  </si>
  <si>
    <t>WBS-CHAT_CALL-0461</t>
  </si>
  <si>
    <t>Giao Tiếp Realtime &amp; Họp Trực Tuyến [Giai đoạn: Tích Hợp Realtime, Hàng Đợi Worker &amp; Bảo Mật Granular RBAC]</t>
  </si>
  <si>
    <t>[Tích Hợp &amp; Bảo Mật] Kênh chat 1-on-1 thời gian thực qua WebSocket Gateway</t>
  </si>
  <si>
    <t>Tích hợp phân quyền Granular RBAC, bảo vệ chống XSS/SQLi, caching Redis và cơ chế realtime/worker: Độ trễ dưới 0.05 giây, âm thanh thông báo sang trọng, gõ phím realtime</t>
  </si>
  <si>
    <t>WBS-CHAT_CALL-0462</t>
  </si>
  <si>
    <t>[Tích Hợp &amp; Bảo Mật] Nhắn tin nhóm thảo luận theo Dự án / Phân ban Hiệp hội</t>
  </si>
  <si>
    <t>Tích hợp phân quyền Granular RBAC, bảo vệ chống XSS/SQLi, caching Redis và cơ chế realtime/worker: Tạo nhóm chat đến 200 lãnh đạo doanh nghiệp, phân quyền Admin nhóm</t>
  </si>
  <si>
    <t>WBS-CHAT_CALL-0463</t>
  </si>
  <si>
    <t>[Tích Hợp &amp; Bảo Mật] Gửi tài liệu hợp đồng, bảng báo giá PDF/Excel đến 50MB</t>
  </si>
  <si>
    <t>Tích hợp phân quyền Granular RBAC, bảo vệ chống XSS/SQLi, caching Redis và cơ chế realtime/worker: Hỗ trợ kéo thả gửi tệp tin văn bản, xem trước trực tiếp trên giao diện</t>
  </si>
  <si>
    <t>WBS-CHAT_CALL-0464</t>
  </si>
  <si>
    <t>[Tích Hợp &amp; Bảo Mật] Ghi âm và gửi tin nhắn thoại (Voice Note) chất lượng cao</t>
  </si>
  <si>
    <t>Tích hợp phân quyền Granular RBAC, bảo vệ chống XSS/SQLi, caching Redis và cơ chế realtime/worker: Thu âm trực tiếp trên trình duyệt, nén âm thanh định dạng AAC/Opus</t>
  </si>
  <si>
    <t>WBS-CHAT_CALL-0465</t>
  </si>
  <si>
    <t>[Tích Hợp &amp; Bảo Mật] Hiển thị trạng thái đã nhận, đã xem tin nhắn (Read Receipts)</t>
  </si>
  <si>
    <t>Tích hợp phân quyền Granular RBAC, bảo vệ chống XSS/SQLi, caching Redis và cơ chế realtime/worker: Cập nhật dấu tích xanh khi đối tác mở xem tin nhắn trong phòng chat</t>
  </si>
  <si>
    <t>WBS-CHAT_CALL-0466</t>
  </si>
  <si>
    <t>[Tích Hợp &amp; Bảo Mật] Tìm kiếm nội dung tin nhắn và tệp đính kèm trong lịch sử chat</t>
  </si>
  <si>
    <t>Tích hợp phân quyền Granular RBAC, bảo vệ chống XSS/SQLi, caching Redis và cơ chế realtime/worker: Tìm kiếm từ khóa đàm phán hợp đồng, lọc theo tệp tin và hình ảnh</t>
  </si>
  <si>
    <t>WBS-CHAT_CALL-0467</t>
  </si>
  <si>
    <t>[Tích Hợp &amp; Bảo Mật] Cuộc gọi thoại (Audio Call) chất lượng cao qua WebRTC</t>
  </si>
  <si>
    <t>Tích hợp phân quyền Granular RBAC, bảo vệ chống XSS/SQLi, caching Redis và cơ chế realtime/worker: Kết nối thoại P2P mã hóa đầu cuối, âm thanh chuẩn HD rõ nét</t>
  </si>
  <si>
    <t>WBS-CHAT_CALL-0468</t>
  </si>
  <si>
    <t>[Tích Hợp &amp; Bảo Mật] Cuộc gọi Video 1-on-1 trực tiếp bảo mật giữa 2 doanh nhân</t>
  </si>
  <si>
    <t>Tích hợp phân quyền Granular RBAC, bảo vệ chống XSS/SQLi, caching Redis và cơ chế realtime/worker: Truyền hình ảnh Full HD 1080p, tự động điều chỉnh bitrate khi mạng yếu</t>
  </si>
  <si>
    <t>WBS-CHAT_CALL-0469</t>
  </si>
  <si>
    <t>[Tích Hợp &amp; Bảo Mật] Họp trực tuyến nhiều bên (Video Conference Room) Ban Chấp Hành</t>
  </si>
  <si>
    <t>Tích hợp phân quyền Granular RBAC, bảo vệ chống XSS/SQLi, caching Redis và cơ chế realtime/worker: Hỗ trợ phòng họp đến 16 đại biểu, hiển thị lưới Grid thông minh</t>
  </si>
  <si>
    <t>WBS-CHAT_CALL-0470</t>
  </si>
  <si>
    <t>[Tích Hợp &amp; Bảo Mật] Chia sẻ màn hình máy tính (Screen Sharing) khi thuyết trình dự án</t>
  </si>
  <si>
    <t>Tích hợp phân quyền Granular RBAC, bảo vệ chống XSS/SQLi, caching Redis và cơ chế realtime/worker: Cho phép chia sẻ slide thuyết trình, bảng tính Excel trong cuộc gọi</t>
  </si>
  <si>
    <t>WBS-CHAT_CALL-0471</t>
  </si>
  <si>
    <t>[Tích Hợp &amp; Bảo Mật] Tính năng giơ tay phát biểu trong phòng họp trực tuyến</t>
  </si>
  <si>
    <t>Tích hợp phân quyền Granular RBAC, bảo vệ chống XSS/SQLi, caching Redis và cơ chế realtime/worker: Đại biểu bấm giơ tay, chủ tọa nhận thông báo và cấp quyền mở mic</t>
  </si>
  <si>
    <t>WBS-CHAT_CALL-0472</t>
  </si>
  <si>
    <t>[Tích Hợp &amp; Bảo Mật] Ghi âm và lưu trữ biên bản cuộc họp trực tuyến lên đám mây</t>
  </si>
  <si>
    <t>Tích hợp phân quyền Granular RBAC, bảo vệ chống XSS/SQLi, caching Redis và cơ chế realtime/worker: Lưu file MP4/WebM cuộc họp lên MinIO phục vụ lưu trữ văn kiện</t>
  </si>
  <si>
    <t>WBS-CHAT_CALL-0473</t>
  </si>
  <si>
    <t>[Tích Hợp &amp; Bảo Mật] Bật/Tắt Micro và Camera với phím tắt bàn phím tiện lợi</t>
  </si>
  <si>
    <t>Tích hợp phân quyền Granular RBAC, bảo vệ chống XSS/SQLi, caching Redis và cơ chế realtime/worker: Phím Space để mở mic nói nhanh (Push-to-Talk), phím M để mute</t>
  </si>
  <si>
    <t>WBS-CHAT_CALL-0474</t>
  </si>
  <si>
    <t>[Tích Hợp &amp; Bảo Mật] Lọc tiếng ồn và khử tiếng vọng thông minh bằng Web Audio API</t>
  </si>
  <si>
    <t>Tích hợp phân quyền Granular RBAC, bảo vệ chống XSS/SQLi, caching Redis và cơ chế realtime/worker: Loại bỏ tiếng ồn nền quạt gió, tiếng gõ phím trong khi đàm thoại</t>
  </si>
  <si>
    <t>WBS-CHAT_CALL-0475</t>
  </si>
  <si>
    <t>[Tích Hợp &amp; Bảo Mật] Đổi hình nền ảo (Virtual Background) che không gian phía sau</t>
  </si>
  <si>
    <t>Tích hợp phân quyền Granular RBAC, bảo vệ chống XSS/SQLi, caching Redis và cơ chế realtime/worker: Sử dụng mô hình nhận diện khuôn mặt tách nền và thay bằng ảnh phòng họp</t>
  </si>
  <si>
    <t>WBS-CHAT_CALL-0476</t>
  </si>
  <si>
    <t>[Tích Hợp &amp; Bảo Mật] Phòng chờ kiểm duyệt đại biểu vào họp (Waiting Room)</t>
  </si>
  <si>
    <t>Tích hợp phân quyền Granular RBAC, bảo vệ chống XSS/SQLi, caching Redis và cơ chế realtime/worker: Khách bấm tham gia họp phải chờ Chủ tọa duyệt mới được vào phòng</t>
  </si>
  <si>
    <t>WBS-CHAT_CALL-0477</t>
  </si>
  <si>
    <t>[Tích Hợp &amp; Bảo Mật] Mã hóa đầu cuối cuộc gọi (End-to-End Encryption E2EE)</t>
  </si>
  <si>
    <t>Tích hợp phân quyền Granular RBAC, bảo vệ chống XSS/SQLi, caching Redis và cơ chế realtime/worker: Mã hóa luồng âm thanh và hình ảnh bằng thuật toán AES-GCM</t>
  </si>
  <si>
    <t>WBS-CHAT_CALL-0478</t>
  </si>
  <si>
    <t>[Tích Hợp &amp; Bảo Mật] Hộp chat song song trong cuộc họp trực tuyến (In-call Chat)</t>
  </si>
  <si>
    <t>Tích hợp phân quyền Granular RBAC, bảo vệ chống XSS/SQLi, caching Redis và cơ chế realtime/worker: Trao đổi tin nhắn văn bản và liên kết tài liệu trong khi đang họp</t>
  </si>
  <si>
    <t>WBS-CHAT_CALL-0479</t>
  </si>
  <si>
    <t>[Tích Hợp &amp; Bảo Mật] Tự động kết nối lại cuộc gọi khi mạng rớt chập chờn (ICE Restart)</t>
  </si>
  <si>
    <t>Tích hợp phân quyền Granular RBAC, bảo vệ chống XSS/SQLi, caching Redis và cơ chế realtime/worker: Tự động tái tạo bắt tay WebRTC trong 2 giây khi đổi mạng 4G/Wifi</t>
  </si>
  <si>
    <t>WBS-CHAT_CALL-0480</t>
  </si>
  <si>
    <t>[Tích Hợp &amp; Bảo Mật] Báo cáo thống kê thời lượng và số lượt họp trực tuyến</t>
  </si>
  <si>
    <t>Tích hợp phân quyền Granular RBAC, bảo vệ chống XSS/SQLi, caching Redis và cơ chế realtime/worker: Tổng kết số giờ họp của Ban Lãnh Đạo và các phân ban theo tháng</t>
  </si>
  <si>
    <t>WBS-CHAT_CALL-0481</t>
  </si>
  <si>
    <t>Giao Tiếp Realtime &amp; Họp Trực Tuyến [Giai đoạn: Kiểm Thử Tự Động Toàn Diện E2E, Hiệu Năng &amp; Nghiệm Thu UAT]</t>
  </si>
  <si>
    <t>[Kiểm Thử E2E &amp; UAT] Kênh chat 1-on-1 thời gian thực qua WebSocket Gateway</t>
  </si>
  <si>
    <t>Kiểm thử hộp đen/hộp trắng toàn diện, kiểm tra tải đồng thời, đối soát dữ liệu và nghiệm thu Ban Lãnh Đạo: Độ trễ dưới 0.05 giây, âm thanh thông báo sang trọng, gõ phím realtime</t>
  </si>
  <si>
    <t>WBS-CHAT_CALL-0482</t>
  </si>
  <si>
    <t>[Kiểm Thử E2E &amp; UAT] Nhắn tin nhóm thảo luận theo Dự án / Phân ban Hiệp hội</t>
  </si>
  <si>
    <t>Kiểm thử hộp đen/hộp trắng toàn diện, kiểm tra tải đồng thời, đối soát dữ liệu và nghiệm thu Ban Lãnh Đạo: Tạo nhóm chat đến 200 lãnh đạo doanh nghiệp, phân quyền Admin nhóm</t>
  </si>
  <si>
    <t>WBS-CHAT_CALL-0483</t>
  </si>
  <si>
    <t>[Kiểm Thử E2E &amp; UAT] Gửi tài liệu hợp đồng, bảng báo giá PDF/Excel đến 50MB</t>
  </si>
  <si>
    <t>Kiểm thử hộp đen/hộp trắng toàn diện, kiểm tra tải đồng thời, đối soát dữ liệu và nghiệm thu Ban Lãnh Đạo: Hỗ trợ kéo thả gửi tệp tin văn bản, xem trước trực tiếp trên giao diện</t>
  </si>
  <si>
    <t>WBS-CHAT_CALL-0484</t>
  </si>
  <si>
    <t>[Kiểm Thử E2E &amp; UAT] Ghi âm và gửi tin nhắn thoại (Voice Note) chất lượng cao</t>
  </si>
  <si>
    <t>Kiểm thử hộp đen/hộp trắng toàn diện, kiểm tra tải đồng thời, đối soát dữ liệu và nghiệm thu Ban Lãnh Đạo: Thu âm trực tiếp trên trình duyệt, nén âm thanh định dạng AAC/Opus</t>
  </si>
  <si>
    <t>WBS-CHAT_CALL-0485</t>
  </si>
  <si>
    <t>[Kiểm Thử E2E &amp; UAT] Hiển thị trạng thái đã nhận, đã xem tin nhắn (Read Receipts)</t>
  </si>
  <si>
    <t>Kiểm thử hộp đen/hộp trắng toàn diện, kiểm tra tải đồng thời, đối soát dữ liệu và nghiệm thu Ban Lãnh Đạo: Cập nhật dấu tích xanh khi đối tác mở xem tin nhắn trong phòng chat</t>
  </si>
  <si>
    <t>WBS-CHAT_CALL-0486</t>
  </si>
  <si>
    <t>[Kiểm Thử E2E &amp; UAT] Tìm kiếm nội dung tin nhắn và tệp đính kèm trong lịch sử chat</t>
  </si>
  <si>
    <t>Kiểm thử hộp đen/hộp trắng toàn diện, kiểm tra tải đồng thời, đối soát dữ liệu và nghiệm thu Ban Lãnh Đạo: Tìm kiếm từ khóa đàm phán hợp đồng, lọc theo tệp tin và hình ảnh</t>
  </si>
  <si>
    <t>WBS-CHAT_CALL-0487</t>
  </si>
  <si>
    <t>[Kiểm Thử E2E &amp; UAT] Cuộc gọi thoại (Audio Call) chất lượng cao qua WebRTC</t>
  </si>
  <si>
    <t>Kiểm thử hộp đen/hộp trắng toàn diện, kiểm tra tải đồng thời, đối soát dữ liệu và nghiệm thu Ban Lãnh Đạo: Kết nối thoại P2P mã hóa đầu cuối, âm thanh chuẩn HD rõ nét</t>
  </si>
  <si>
    <t>WBS-CHAT_CALL-0488</t>
  </si>
  <si>
    <t>[Kiểm Thử E2E &amp; UAT] Cuộc gọi Video 1-on-1 trực tiếp bảo mật giữa 2 doanh nhân</t>
  </si>
  <si>
    <t>Kiểm thử hộp đen/hộp trắng toàn diện, kiểm tra tải đồng thời, đối soát dữ liệu và nghiệm thu Ban Lãnh Đạo: Truyền hình ảnh Full HD 1080p, tự động điều chỉnh bitrate khi mạng yếu</t>
  </si>
  <si>
    <t>WBS-CHAT_CALL-0489</t>
  </si>
  <si>
    <t>[Kiểm Thử E2E &amp; UAT] Họp trực tuyến nhiều bên (Video Conference Room) Ban Chấp Hành</t>
  </si>
  <si>
    <t>Kiểm thử hộp đen/hộp trắng toàn diện, kiểm tra tải đồng thời, đối soát dữ liệu và nghiệm thu Ban Lãnh Đạo: Hỗ trợ phòng họp đến 16 đại biểu, hiển thị lưới Grid thông minh</t>
  </si>
  <si>
    <t>WBS-CHAT_CALL-0490</t>
  </si>
  <si>
    <t>[Kiểm Thử E2E &amp; UAT] Chia sẻ màn hình máy tính (Screen Sharing) khi thuyết trình dự án</t>
  </si>
  <si>
    <t>Kiểm thử hộp đen/hộp trắng toàn diện, kiểm tra tải đồng thời, đối soát dữ liệu và nghiệm thu Ban Lãnh Đạo: Cho phép chia sẻ slide thuyết trình, bảng tính Excel trong cuộc gọi</t>
  </si>
  <si>
    <t>WBS-CHAT_CALL-0491</t>
  </si>
  <si>
    <t>[Kiểm Thử E2E &amp; UAT] Tính năng giơ tay phát biểu trong phòng họp trực tuyến</t>
  </si>
  <si>
    <t>Kiểm thử hộp đen/hộp trắng toàn diện, kiểm tra tải đồng thời, đối soát dữ liệu và nghiệm thu Ban Lãnh Đạo: Đại biểu bấm giơ tay, chủ tọa nhận thông báo và cấp quyền mở mic</t>
  </si>
  <si>
    <t>WBS-CHAT_CALL-0492</t>
  </si>
  <si>
    <t>[Kiểm Thử E2E &amp; UAT] Ghi âm và lưu trữ biên bản cuộc họp trực tuyến lên đám mây</t>
  </si>
  <si>
    <t>Kiểm thử hộp đen/hộp trắng toàn diện, kiểm tra tải đồng thời, đối soát dữ liệu và nghiệm thu Ban Lãnh Đạo: Lưu file MP4/WebM cuộc họp lên MinIO phục vụ lưu trữ văn kiện</t>
  </si>
  <si>
    <t>WBS-CHAT_CALL-0493</t>
  </si>
  <si>
    <t>[Kiểm Thử E2E &amp; UAT] Bật/Tắt Micro và Camera với phím tắt bàn phím tiện lợi</t>
  </si>
  <si>
    <t>Kiểm thử hộp đen/hộp trắng toàn diện, kiểm tra tải đồng thời, đối soát dữ liệu và nghiệm thu Ban Lãnh Đạo: Phím Space để mở mic nói nhanh (Push-to-Talk), phím M để mute</t>
  </si>
  <si>
    <t>WBS-CHAT_CALL-0494</t>
  </si>
  <si>
    <t>[Kiểm Thử E2E &amp; UAT] Lọc tiếng ồn và khử tiếng vọng thông minh bằng Web Audio API</t>
  </si>
  <si>
    <t>Kiểm thử hộp đen/hộp trắng toàn diện, kiểm tra tải đồng thời, đối soát dữ liệu và nghiệm thu Ban Lãnh Đạo: Loại bỏ tiếng ồn nền quạt gió, tiếng gõ phím trong khi đàm thoại</t>
  </si>
  <si>
    <t>WBS-CHAT_CALL-0495</t>
  </si>
  <si>
    <t>[Kiểm Thử E2E &amp; UAT] Đổi hình nền ảo (Virtual Background) che không gian phía sau</t>
  </si>
  <si>
    <t>Kiểm thử hộp đen/hộp trắng toàn diện, kiểm tra tải đồng thời, đối soát dữ liệu và nghiệm thu Ban Lãnh Đạo: Sử dụng mô hình nhận diện khuôn mặt tách nền và thay bằng ảnh phòng họp</t>
  </si>
  <si>
    <t>WBS-CHAT_CALL-0496</t>
  </si>
  <si>
    <t>[Kiểm Thử E2E &amp; UAT] Phòng chờ kiểm duyệt đại biểu vào họp (Waiting Room)</t>
  </si>
  <si>
    <t>Kiểm thử hộp đen/hộp trắng toàn diện, kiểm tra tải đồng thời, đối soát dữ liệu và nghiệm thu Ban Lãnh Đạo: Khách bấm tham gia họp phải chờ Chủ tọa duyệt mới được vào phòng</t>
  </si>
  <si>
    <t>WBS-CHAT_CALL-0497</t>
  </si>
  <si>
    <t>[Kiểm Thử E2E &amp; UAT] Mã hóa đầu cuối cuộc gọi (End-to-End Encryption E2EE)</t>
  </si>
  <si>
    <t>Kiểm thử hộp đen/hộp trắng toàn diện, kiểm tra tải đồng thời, đối soát dữ liệu và nghiệm thu Ban Lãnh Đạo: Mã hóa luồng âm thanh và hình ảnh bằng thuật toán AES-GCM</t>
  </si>
  <si>
    <t>WBS-CHAT_CALL-0498</t>
  </si>
  <si>
    <t>[Kiểm Thử E2E &amp; UAT] Hộp chat song song trong cuộc họp trực tuyến (In-call Chat)</t>
  </si>
  <si>
    <t>Kiểm thử hộp đen/hộp trắng toàn diện, kiểm tra tải đồng thời, đối soát dữ liệu và nghiệm thu Ban Lãnh Đạo: Trao đổi tin nhắn văn bản và liên kết tài liệu trong khi đang họp</t>
  </si>
  <si>
    <t>WBS-CHAT_CALL-0499</t>
  </si>
  <si>
    <t>[Kiểm Thử E2E &amp; UAT] Tự động kết nối lại cuộc gọi khi mạng rớt chập chờn (ICE Restart)</t>
  </si>
  <si>
    <t>Kiểm thử hộp đen/hộp trắng toàn diện, kiểm tra tải đồng thời, đối soát dữ liệu và nghiệm thu Ban Lãnh Đạo: Tự động tái tạo bắt tay WebRTC trong 2 giây khi đổi mạng 4G/Wifi</t>
  </si>
  <si>
    <t>WBS-CHAT_CALL-0500</t>
  </si>
  <si>
    <t>[Kiểm Thử E2E &amp; UAT] Báo cáo thống kê thời lượng và số lượt họp trực tuyến</t>
  </si>
  <si>
    <t>Kiểm thử hộp đen/hộp trắng toàn diện, kiểm tra tải đồng thời, đối soát dữ liệu và nghiệm thu Ban Lãnh Đạo: Tổng kết số giờ họp của Ban Lãnh Đạo và các phân ban theo tháng</t>
  </si>
  <si>
    <t>VIONE MASTER WBS: CRM QUẢN TRỊ KHÁCH HÀNG, LEAD &amp; TRAO CƠ HỘI REFERRAL</t>
  </si>
  <si>
    <t>WBS-CRM_LEAD-0501</t>
  </si>
  <si>
    <t>Quản Lý Khách Hàng &amp; Cơ Hội Giao Thương [Giai đoạn: Khởi Tạo, Phân Tích Nghiệp Vụ &amp; Mô Hình Dữ Liệu]</t>
  </si>
  <si>
    <t>[Kiến Trúc &amp; Schema] Tiếp nhận khách hàng tiềm năng (Leads) từ Web Portal &amp; Đặt demo</t>
  </si>
  <si>
    <t>Phân tích yêu cầu nghiệp vụ, thiết kế bảng dữ liệu CSDL PostgreSQL, đặc tả API RESTful và luồng nghiệp vụ chi tiết cho: Tự động tạo bản ghi lead, gán nguồn thu thập, phân công cán bộ chăm sóc</t>
  </si>
  <si>
    <t>/crm/leads/ingest</t>
  </si>
  <si>
    <t>Lead Capture Engine</t>
  </si>
  <si>
    <t>WBS-CRM_LEAD-0502</t>
  </si>
  <si>
    <t>[Kiến Trúc &amp; Schema] Chấm điểm tiềm năng khách hàng (Lead Scoring Algorithm)</t>
  </si>
  <si>
    <t>Phân tích yêu cầu nghiệp vụ, thiết kế bảng dữ liệu CSDL PostgreSQL, đặc tả API RESTful và luồng nghiệp vụ chi tiết cho: Tính điểm dựa trên quy mô công ty, doanh thu, độ khớp ngành nghề</t>
  </si>
  <si>
    <t>/crm/leads/scoring</t>
  </si>
  <si>
    <t>Rule-based Lead Score</t>
  </si>
  <si>
    <t>WBS-CRM_LEAD-0503</t>
  </si>
  <si>
    <t>[Kiến Trúc &amp; Schema] Bảng Kanban phễu bán hàng và chăm sóc hội viên (Sales Pipeline)</t>
  </si>
  <si>
    <t>Phân tích yêu cầu nghiệp vụ, thiết kế bảng dữ liệu CSDL PostgreSQL, đặc tả API RESTful và luồng nghiệp vụ chi tiết cho: Kéo thả thẻ khách hàng qua các giai đoạn: Mới -&gt; Tiếp cận -&gt; Thẩm định -&gt; Kết nạp</t>
  </si>
  <si>
    <t>/crm/pipeline/kanban</t>
  </si>
  <si>
    <t>Cán Bộ CRM</t>
  </si>
  <si>
    <t>Drag and Drop Kanban UI</t>
  </si>
  <si>
    <t>WBS-CRM_LEAD-0504</t>
  </si>
  <si>
    <t>[Kiến Trúc &amp; Schema] Chuyển đổi khách hàng tiềm năng thành Hội viên chính thức 1-click</t>
  </si>
  <si>
    <t>Phân tích yêu cầu nghiệp vụ, thiết kế bảng dữ liệu CSDL PostgreSQL, đặc tả API RESTful và luồng nghiệp vụ chi tiết cho: Tự động chuyển thông tin Lead sang bảng members, sinh hóa đơn niên liễm</t>
  </si>
  <si>
    <t>/crm/leads/convert</t>
  </si>
  <si>
    <t>Thư Ký Hiệp Hội</t>
  </si>
  <si>
    <t>Prisma Lead-to-Member Flow</t>
  </si>
  <si>
    <t>WBS-CRM_LEAD-0505</t>
  </si>
  <si>
    <t>[Kiến Trúc &amp; Schema] Ghi nhận dòng thời gian tương tác (Activity Timeline &amp; Notes)</t>
  </si>
  <si>
    <t>Phân tích yêu cầu nghiệp vụ, thiết kế bảng dữ liệu CSDL PostgreSQL, đặc tả API RESTful và luồng nghiệp vụ chi tiết cho: Lưu lịch sử cuộc gọi, biên bản họp, email trao đổi và nhiệm vụ cần làm</t>
  </si>
  <si>
    <t>/crm/activities/timeline</t>
  </si>
  <si>
    <t>Activity Audit Trail</t>
  </si>
  <si>
    <t>WBS-CRM_LEAD-0506</t>
  </si>
  <si>
    <t>[Kiến Trúc &amp; Schema] Đặt lịch nhắc việc và hẹn gặp doanh nhân tự động gửi thông báo</t>
  </si>
  <si>
    <t>Phân tích yêu cầu nghiệp vụ, thiết kế bảng dữ liệu CSDL PostgreSQL, đặc tả API RESTful và luồng nghiệp vụ chi tiết cho: Cảnh báo hạn chót nộp hồ sơ, nhắc lịch gặp mặt trước 30 phút qua SMS/Push</t>
  </si>
  <si>
    <t>/crm/tasks/reminders</t>
  </si>
  <si>
    <t>Task Scheduler Cron</t>
  </si>
  <si>
    <t>WBS-CRM_LEAD-0507</t>
  </si>
  <si>
    <t>[Kiến Trúc &amp; Schema] Trao cơ hội kinh doanh (Create Business Referral Opportunity)</t>
  </si>
  <si>
    <t>Phân tích yêu cầu nghiệp vụ, thiết kế bảng dữ liệu CSDL PostgreSQL, đặc tả API RESTful và luồng nghiệp vụ chi tiết cho: Hội viên A giới thiệu khách hàng lớn cho Hội viên B trong mạng lưới</t>
  </si>
  <si>
    <t>/crm/referrals/create</t>
  </si>
  <si>
    <t>Referral Tracking Model</t>
  </si>
  <si>
    <t>WBS-CRM_LEAD-0508</t>
  </si>
  <si>
    <t>[Kiến Trúc &amp; Schema] Theo dõi trạng thái cơ hội kinh doanh: Đang đàm phán -&gt; Ký kết thành công</t>
  </si>
  <si>
    <t>Phân tích yêu cầu nghiệp vụ, thiết kế bảng dữ liệu CSDL PostgreSQL, đặc tả API RESTful và luồng nghiệp vụ chi tiết cho: Cập nhật tiến độ tiếp cận khách hàng được giới thiệu, bảo đảm minh bạch</t>
  </si>
  <si>
    <t>/crm/referrals/:id/track</t>
  </si>
  <si>
    <t>Hội Viên Nhận</t>
  </si>
  <si>
    <t>Deal Stage Progression</t>
  </si>
  <si>
    <t>WBS-CRM_LEAD-0509</t>
  </si>
  <si>
    <t>[Kiến Trúc &amp; Schema] Ghi nhận giá trị hợp đồng thành công và chia hoa hồng cảm ơn</t>
  </si>
  <si>
    <t>Phân tích yêu cầu nghiệp vụ, thiết kế bảng dữ liệu CSDL PostgreSQL, đặc tả API RESTful và luồng nghiệp vụ chi tiết cho: Xác nhận doanh thu thực tế phát sinh từ cơ hội, ghi nhận đóng góp hiệp hội</t>
  </si>
  <si>
    <t>/crm/referrals/revenue-slip</t>
  </si>
  <si>
    <t>Commission Settlement</t>
  </si>
  <si>
    <t>WBS-CRM_LEAD-0510</t>
  </si>
  <si>
    <t>[Kiến Trúc &amp; Schema] Báo cáo thống kê hiệu quả mạng lưới kết nối kinh doanh (ROI Analytics)</t>
  </si>
  <si>
    <t>Phân tích yêu cầu nghiệp vụ, thiết kế bảng dữ liệu CSDL PostgreSQL, đặc tả API RESTful và luồng nghiệp vụ chi tiết cho: Biểu đồ tổng giá trị giao thương, top hội viên tích cực trao cơ hội nhất</t>
  </si>
  <si>
    <t>/crm/reports/referral-kpi</t>
  </si>
  <si>
    <t>Aggregated BI Metrics</t>
  </si>
  <si>
    <t>WBS-CRM_LEAD-0511</t>
  </si>
  <si>
    <t>[Kiến Trúc &amp; Schema] Tích hợp biểu mẫu thu thập thông tin trên trang chủ Landing Page</t>
  </si>
  <si>
    <t>Phân tích yêu cầu nghiệp vụ, thiết kế bảng dữ liệu CSDL PostgreSQL, đặc tả API RESTful và luồng nghiệp vụ chi tiết cho: Biểu mẫu Đặt Demo nhúng trên Web tự động đẩy dữ liệu về CRM</t>
  </si>
  <si>
    <t>/crm/lead-forms</t>
  </si>
  <si>
    <t>Embeddable Lead Form</t>
  </si>
  <si>
    <t>WBS-CRM_LEAD-0512</t>
  </si>
  <si>
    <t>[Kiến Trúc &amp; Schema] Phân công xử lý Lead tự động theo quy tắc vòng tròn (Round-Robin)</t>
  </si>
  <si>
    <t>Phân tích yêu cầu nghiệp vụ, thiết kế bảng dữ liệu CSDL PostgreSQL, đặc tả API RESTful và luồng nghiệp vụ chi tiết cho: Chia đều khách hàng tiềm năng cho các cán bộ phụ trách không thiên vị</t>
  </si>
  <si>
    <t>/crm/lead-assignment</t>
  </si>
  <si>
    <t>Round-Robin Dispatcher</t>
  </si>
  <si>
    <t>WBS-CRM_LEAD-0513</t>
  </si>
  <si>
    <t>[Kiến Trúc &amp; Schema] Cảnh báo trùng lặp khách hàng tiềm năng qua Số điện thoại &amp; MST</t>
  </si>
  <si>
    <t>Phân tích yêu cầu nghiệp vụ, thiết kế bảng dữ liệu CSDL PostgreSQL, đặc tả API RESTful và luồng nghiệp vụ chi tiết cho: Ngăn chặn 2 cán bộ cùng tiếp cận 1 doanh nghiệp gây phiền hà</t>
  </si>
  <si>
    <t>/crm/leads/deduplication</t>
  </si>
  <si>
    <t>Fuzzy Deduplication Engine</t>
  </si>
  <si>
    <t>WBS-CRM_LEAD-0514</t>
  </si>
  <si>
    <t>[Kiến Trúc &amp; Schema] Quản lý danh bạ người liên hệ theo từng doanh nghiệp (Company Contacts)</t>
  </si>
  <si>
    <t>Phân tích yêu cầu nghiệp vụ, thiết kế bảng dữ liệu CSDL PostgreSQL, đặc tả API RESTful và luồng nghiệp vụ chi tiết cho: Lưu danh sách Chủ tịch, Tổng giám đốc, Giám đốc tài chính cùng công ty</t>
  </si>
  <si>
    <t>/crm/companies/contacts</t>
  </si>
  <si>
    <t>Company-Contact Graph</t>
  </si>
  <si>
    <t>WBS-CRM_LEAD-0515</t>
  </si>
  <si>
    <t>[Kiến Trúc &amp; Schema] Gắn nhãn phân loại cơ hội theo giá trị (Thỏa thuận nhỏ, vừa, lớn, khủng)</t>
  </si>
  <si>
    <t>Phân tích yêu cầu nghiệp vụ, thiết kế bảng dữ liệu CSDL PostgreSQL, đặc tả API RESTful và luồng nghiệp vụ chi tiết cho: Tự động gán nhãn VIP Deal cho các hợp đồng có giá trị trên 5 tỷ VNĐ</t>
  </si>
  <si>
    <t>/crm/deals/tagging</t>
  </si>
  <si>
    <t>Deal Classification Rules</t>
  </si>
  <si>
    <t>WBS-CRM_LEAD-0516</t>
  </si>
  <si>
    <t>[Kiến Trúc &amp; Schema] Dự báo doanh thu giao thương theo xác suất chốt (Revenue Forecast)</t>
  </si>
  <si>
    <t>Phân tích yêu cầu nghiệp vụ, thiết kế bảng dữ liệu CSDL PostgreSQL, đặc tả API RESTful và luồng nghiệp vụ chi tiết cho: Tính tổng doanh thu kỳ vọng = Giá trị hợp đồng x Tỷ lệ xác suất thành công</t>
  </si>
  <si>
    <t>/crm/forecast</t>
  </si>
  <si>
    <t>Weighted Pipeline Analytics</t>
  </si>
  <si>
    <t>WBS-CRM_LEAD-0517</t>
  </si>
  <si>
    <t>[Kiến Trúc &amp; Schema] Xuất danh sách khách hàng tiềm năng ra file Excel phân tích</t>
  </si>
  <si>
    <t>Phân tích yêu cầu nghiệp vụ, thiết kế bảng dữ liệu CSDL PostgreSQL, đặc tả API RESTful và luồng nghiệp vụ chi tiết cho: Hỗ trợ xuất toàn bộ dữ liệu kèm lịch sử tương tác và ghi chú</t>
  </si>
  <si>
    <t>/crm/leads/export</t>
  </si>
  <si>
    <t>Excel Export Lead Data</t>
  </si>
  <si>
    <t>WBS-CRM_LEAD-0518</t>
  </si>
  <si>
    <t>[Kiến Trúc &amp; Schema] Nhập danh bạ khách hàng tiềm năng từ file Excel hội thảo</t>
  </si>
  <si>
    <t>Phân tích yêu cầu nghiệp vụ, thiết kế bảng dữ liệu CSDL PostgreSQL, đặc tả API RESTful và luồng nghiệp vụ chi tiết cho: Nạp 500 khách từ file Excel danh sách khách dự hội thảo kinh tế</t>
  </si>
  <si>
    <t>/crm/leads/import</t>
  </si>
  <si>
    <t>Excel Batch Lead Import</t>
  </si>
  <si>
    <t>WBS-CRM_LEAD-0519</t>
  </si>
  <si>
    <t>[Kiến Trúc &amp; Schema] Tự động gửi email cảm ơn sau khi hoàn tất cuộc gọi chăm sóc</t>
  </si>
  <si>
    <t>Phân tích yêu cầu nghiệp vụ, thiết kế bảng dữ liệu CSDL PostgreSQL, đặc tả API RESTful và luồng nghiệp vụ chi tiết cho: Tự động gửi email biên bản tóm tắt nội dung trao đổi cho khách hàng</t>
  </si>
  <si>
    <t>/crm/auto-followup</t>
  </si>
  <si>
    <t>Follow-up Automation</t>
  </si>
  <si>
    <t>WBS-CRM_LEAD-0520</t>
  </si>
  <si>
    <t>[Kiến Trúc &amp; Schema] Báo cáo tỷ lệ chuyển đổi khách hàng qua từng giai đoạn (Conversion Rate)</t>
  </si>
  <si>
    <t>Phân tích yêu cầu nghiệp vụ, thiết kế bảng dữ liệu CSDL PostgreSQL, đặc tả API RESTful và luồng nghiệp vụ chi tiết cho: Biểu đồ phễu thu hẹp thể hiện tỷ lệ rơi rụng khách hàng qua các bước</t>
  </si>
  <si>
    <t>/crm/reports/funnel</t>
  </si>
  <si>
    <t>Funnel Conversion BI</t>
  </si>
  <si>
    <t>WBS-CRM_LEAD-0521</t>
  </si>
  <si>
    <t>Quản Lý Khách Hàng &amp; Cơ Hội Giao Thương [Giai đoạn: Xây Dựng Giao Diện Người Dùng Frontend (Desktop &amp; Mobile)]</t>
  </si>
  <si>
    <t>[Giao Diện Frontend] Tiếp nhận khách hàng tiềm năng (Leads) từ Web Portal &amp; Đặt demo</t>
  </si>
  <si>
    <t>Phát triển giao diện React/Tailwind, tối ưu hóa responsive di động, xử lý trạng thái loading/error/empty state: Tự động tạo bản ghi lead, gán nguồn thu thập, phân công cán bộ chăm sóc</t>
  </si>
  <si>
    <t>WBS-CRM_LEAD-0522</t>
  </si>
  <si>
    <t>[Giao Diện Frontend] Chấm điểm tiềm năng khách hàng (Lead Scoring Algorithm)</t>
  </si>
  <si>
    <t>Phát triển giao diện React/Tailwind, tối ưu hóa responsive di động, xử lý trạng thái loading/error/empty state: Tính điểm dựa trên quy mô công ty, doanh thu, độ khớp ngành nghề</t>
  </si>
  <si>
    <t>WBS-CRM_LEAD-0523</t>
  </si>
  <si>
    <t>[Giao Diện Frontend] Bảng Kanban phễu bán hàng và chăm sóc hội viên (Sales Pipeline)</t>
  </si>
  <si>
    <t>Phát triển giao diện React/Tailwind, tối ưu hóa responsive di động, xử lý trạng thái loading/error/empty state: Kéo thả thẻ khách hàng qua các giai đoạn: Mới -&gt; Tiếp cận -&gt; Thẩm định -&gt; Kết nạp</t>
  </si>
  <si>
    <t>WBS-CRM_LEAD-0524</t>
  </si>
  <si>
    <t>[Giao Diện Frontend] Chuyển đổi khách hàng tiềm năng thành Hội viên chính thức 1-click</t>
  </si>
  <si>
    <t>Phát triển giao diện React/Tailwind, tối ưu hóa responsive di động, xử lý trạng thái loading/error/empty state: Tự động chuyển thông tin Lead sang bảng members, sinh hóa đơn niên liễm</t>
  </si>
  <si>
    <t>WBS-CRM_LEAD-0525</t>
  </si>
  <si>
    <t>[Giao Diện Frontend] Ghi nhận dòng thời gian tương tác (Activity Timeline &amp; Notes)</t>
  </si>
  <si>
    <t>Phát triển giao diện React/Tailwind, tối ưu hóa responsive di động, xử lý trạng thái loading/error/empty state: Lưu lịch sử cuộc gọi, biên bản họp, email trao đổi và nhiệm vụ cần làm</t>
  </si>
  <si>
    <t>WBS-CRM_LEAD-0526</t>
  </si>
  <si>
    <t>[Giao Diện Frontend] Đặt lịch nhắc việc và hẹn gặp doanh nhân tự động gửi thông báo</t>
  </si>
  <si>
    <t>Phát triển giao diện React/Tailwind, tối ưu hóa responsive di động, xử lý trạng thái loading/error/empty state: Cảnh báo hạn chót nộp hồ sơ, nhắc lịch gặp mặt trước 30 phút qua SMS/Push</t>
  </si>
  <si>
    <t>WBS-CRM_LEAD-0527</t>
  </si>
  <si>
    <t>[Giao Diện Frontend] Trao cơ hội kinh doanh (Create Business Referral Opportunity)</t>
  </si>
  <si>
    <t>Phát triển giao diện React/Tailwind, tối ưu hóa responsive di động, xử lý trạng thái loading/error/empty state: Hội viên A giới thiệu khách hàng lớn cho Hội viên B trong mạng lưới</t>
  </si>
  <si>
    <t>WBS-CRM_LEAD-0528</t>
  </si>
  <si>
    <t>[Giao Diện Frontend] Theo dõi trạng thái cơ hội kinh doanh: Đang đàm phán -&gt; Ký kết thành công</t>
  </si>
  <si>
    <t>Phát triển giao diện React/Tailwind, tối ưu hóa responsive di động, xử lý trạng thái loading/error/empty state: Cập nhật tiến độ tiếp cận khách hàng được giới thiệu, bảo đảm minh bạch</t>
  </si>
  <si>
    <t>WBS-CRM_LEAD-0529</t>
  </si>
  <si>
    <t>[Giao Diện Frontend] Ghi nhận giá trị hợp đồng thành công và chia hoa hồng cảm ơn</t>
  </si>
  <si>
    <t>Phát triển giao diện React/Tailwind, tối ưu hóa responsive di động, xử lý trạng thái loading/error/empty state: Xác nhận doanh thu thực tế phát sinh từ cơ hội, ghi nhận đóng góp hiệp hội</t>
  </si>
  <si>
    <t>WBS-CRM_LEAD-0530</t>
  </si>
  <si>
    <t>[Giao Diện Frontend] Báo cáo thống kê hiệu quả mạng lưới kết nối kinh doanh (ROI Analytics)</t>
  </si>
  <si>
    <t>Phát triển giao diện React/Tailwind, tối ưu hóa responsive di động, xử lý trạng thái loading/error/empty state: Biểu đồ tổng giá trị giao thương, top hội viên tích cực trao cơ hội nhất</t>
  </si>
  <si>
    <t>WBS-CRM_LEAD-0531</t>
  </si>
  <si>
    <t>[Giao Diện Frontend] Tích hợp biểu mẫu thu thập thông tin trên trang chủ Landing Page</t>
  </si>
  <si>
    <t>Phát triển giao diện React/Tailwind, tối ưu hóa responsive di động, xử lý trạng thái loading/error/empty state: Biểu mẫu Đặt Demo nhúng trên Web tự động đẩy dữ liệu về CRM</t>
  </si>
  <si>
    <t>WBS-CRM_LEAD-0532</t>
  </si>
  <si>
    <t>[Giao Diện Frontend] Phân công xử lý Lead tự động theo quy tắc vòng tròn (Round-Robin)</t>
  </si>
  <si>
    <t>Phát triển giao diện React/Tailwind, tối ưu hóa responsive di động, xử lý trạng thái loading/error/empty state: Chia đều khách hàng tiềm năng cho các cán bộ phụ trách không thiên vị</t>
  </si>
  <si>
    <t>WBS-CRM_LEAD-0533</t>
  </si>
  <si>
    <t>[Giao Diện Frontend] Cảnh báo trùng lặp khách hàng tiềm năng qua Số điện thoại &amp; MST</t>
  </si>
  <si>
    <t>Phát triển giao diện React/Tailwind, tối ưu hóa responsive di động, xử lý trạng thái loading/error/empty state: Ngăn chặn 2 cán bộ cùng tiếp cận 1 doanh nghiệp gây phiền hà</t>
  </si>
  <si>
    <t>WBS-CRM_LEAD-0534</t>
  </si>
  <si>
    <t>[Giao Diện Frontend] Quản lý danh bạ người liên hệ theo từng doanh nghiệp (Company Contacts)</t>
  </si>
  <si>
    <t>Phát triển giao diện React/Tailwind, tối ưu hóa responsive di động, xử lý trạng thái loading/error/empty state: Lưu danh sách Chủ tịch, Tổng giám đốc, Giám đốc tài chính cùng công ty</t>
  </si>
  <si>
    <t>WBS-CRM_LEAD-0535</t>
  </si>
  <si>
    <t>[Giao Diện Frontend] Gắn nhãn phân loại cơ hội theo giá trị (Thỏa thuận nhỏ, vừa, lớn, khủng)</t>
  </si>
  <si>
    <t>Phát triển giao diện React/Tailwind, tối ưu hóa responsive di động, xử lý trạng thái loading/error/empty state: Tự động gán nhãn VIP Deal cho các hợp đồng có giá trị trên 5 tỷ VNĐ</t>
  </si>
  <si>
    <t>WBS-CRM_LEAD-0536</t>
  </si>
  <si>
    <t>[Giao Diện Frontend] Dự báo doanh thu giao thương theo xác suất chốt (Revenue Forecast)</t>
  </si>
  <si>
    <t>Phát triển giao diện React/Tailwind, tối ưu hóa responsive di động, xử lý trạng thái loading/error/empty state: Tính tổng doanh thu kỳ vọng = Giá trị hợp đồng x Tỷ lệ xác suất thành công</t>
  </si>
  <si>
    <t>WBS-CRM_LEAD-0537</t>
  </si>
  <si>
    <t>[Giao Diện Frontend] Xuất danh sách khách hàng tiềm năng ra file Excel phân tích</t>
  </si>
  <si>
    <t>Phát triển giao diện React/Tailwind, tối ưu hóa responsive di động, xử lý trạng thái loading/error/empty state: Hỗ trợ xuất toàn bộ dữ liệu kèm lịch sử tương tác và ghi chú</t>
  </si>
  <si>
    <t>WBS-CRM_LEAD-0538</t>
  </si>
  <si>
    <t>[Giao Diện Frontend] Nhập danh bạ khách hàng tiềm năng từ file Excel hội thảo</t>
  </si>
  <si>
    <t>Phát triển giao diện React/Tailwind, tối ưu hóa responsive di động, xử lý trạng thái loading/error/empty state: Nạp 500 khách từ file Excel danh sách khách dự hội thảo kinh tế</t>
  </si>
  <si>
    <t>WBS-CRM_LEAD-0539</t>
  </si>
  <si>
    <t>[Giao Diện Frontend] Tự động gửi email cảm ơn sau khi hoàn tất cuộc gọi chăm sóc</t>
  </si>
  <si>
    <t>Phát triển giao diện React/Tailwind, tối ưu hóa responsive di động, xử lý trạng thái loading/error/empty state: Tự động gửi email biên bản tóm tắt nội dung trao đổi cho khách hàng</t>
  </si>
  <si>
    <t>WBS-CRM_LEAD-0540</t>
  </si>
  <si>
    <t>[Giao Diện Frontend] Báo cáo tỷ lệ chuyển đổi khách hàng qua từng giai đoạn (Conversion Rate)</t>
  </si>
  <si>
    <t>Phát triển giao diện React/Tailwind, tối ưu hóa responsive di động, xử lý trạng thái loading/error/empty state: Biểu đồ phễu thu hẹp thể hiện tỷ lệ rơi rụng khách hàng qua các bước</t>
  </si>
  <si>
    <t>WBS-CRM_LEAD-0541</t>
  </si>
  <si>
    <t>Quản Lý Khách Hàng &amp; Cơ Hội Giao Thương [Giai đoạn: Xử Lý Logic Nghiệp Vụ Backend API &amp; Cơ Sở Dữ Liệu CSDL]</t>
  </si>
  <si>
    <t>[Logic Backend CSDL] Tiếp nhận khách hàng tiềm năng (Leads) từ Web Portal &amp; Đặt demo</t>
  </si>
  <si>
    <t>Xây dựng NestJS Controller, Service, Prisma ORM, kiểm tra ràng buộc dữ liệu DTO và xử lý Transaction ACID: Tự động tạo bản ghi lead, gán nguồn thu thập, phân công cán bộ chăm sóc</t>
  </si>
  <si>
    <t>WBS-CRM_LEAD-0542</t>
  </si>
  <si>
    <t>[Logic Backend CSDL] Chấm điểm tiềm năng khách hàng (Lead Scoring Algorithm)</t>
  </si>
  <si>
    <t>Xây dựng NestJS Controller, Service, Prisma ORM, kiểm tra ràng buộc dữ liệu DTO và xử lý Transaction ACID: Tính điểm dựa trên quy mô công ty, doanh thu, độ khớp ngành nghề</t>
  </si>
  <si>
    <t>WBS-CRM_LEAD-0543</t>
  </si>
  <si>
    <t>[Logic Backend CSDL] Bảng Kanban phễu bán hàng và chăm sóc hội viên (Sales Pipeline)</t>
  </si>
  <si>
    <t>Xây dựng NestJS Controller, Service, Prisma ORM, kiểm tra ràng buộc dữ liệu DTO và xử lý Transaction ACID: Kéo thả thẻ khách hàng qua các giai đoạn: Mới -&gt; Tiếp cận -&gt; Thẩm định -&gt; Kết nạp</t>
  </si>
  <si>
    <t>WBS-CRM_LEAD-0544</t>
  </si>
  <si>
    <t>[Logic Backend CSDL] Chuyển đổi khách hàng tiềm năng thành Hội viên chính thức 1-click</t>
  </si>
  <si>
    <t>Xây dựng NestJS Controller, Service, Prisma ORM, kiểm tra ràng buộc dữ liệu DTO và xử lý Transaction ACID: Tự động chuyển thông tin Lead sang bảng members, sinh hóa đơn niên liễm</t>
  </si>
  <si>
    <t>WBS-CRM_LEAD-0545</t>
  </si>
  <si>
    <t>[Logic Backend CSDL] Ghi nhận dòng thời gian tương tác (Activity Timeline &amp; Notes)</t>
  </si>
  <si>
    <t>Xây dựng NestJS Controller, Service, Prisma ORM, kiểm tra ràng buộc dữ liệu DTO và xử lý Transaction ACID: Lưu lịch sử cuộc gọi, biên bản họp, email trao đổi và nhiệm vụ cần làm</t>
  </si>
  <si>
    <t>WBS-CRM_LEAD-0546</t>
  </si>
  <si>
    <t>[Logic Backend CSDL] Đặt lịch nhắc việc và hẹn gặp doanh nhân tự động gửi thông báo</t>
  </si>
  <si>
    <t>Xây dựng NestJS Controller, Service, Prisma ORM, kiểm tra ràng buộc dữ liệu DTO và xử lý Transaction ACID: Cảnh báo hạn chót nộp hồ sơ, nhắc lịch gặp mặt trước 30 phút qua SMS/Push</t>
  </si>
  <si>
    <t>WBS-CRM_LEAD-0547</t>
  </si>
  <si>
    <t>[Logic Backend CSDL] Trao cơ hội kinh doanh (Create Business Referral Opportunity)</t>
  </si>
  <si>
    <t>Xây dựng NestJS Controller, Service, Prisma ORM, kiểm tra ràng buộc dữ liệu DTO và xử lý Transaction ACID: Hội viên A giới thiệu khách hàng lớn cho Hội viên B trong mạng lưới</t>
  </si>
  <si>
    <t>WBS-CRM_LEAD-0548</t>
  </si>
  <si>
    <t>[Logic Backend CSDL] Theo dõi trạng thái cơ hội kinh doanh: Đang đàm phán -&gt; Ký kết thành công</t>
  </si>
  <si>
    <t>Xây dựng NestJS Controller, Service, Prisma ORM, kiểm tra ràng buộc dữ liệu DTO và xử lý Transaction ACID: Cập nhật tiến độ tiếp cận khách hàng được giới thiệu, bảo đảm minh bạch</t>
  </si>
  <si>
    <t>WBS-CRM_LEAD-0549</t>
  </si>
  <si>
    <t>[Logic Backend CSDL] Ghi nhận giá trị hợp đồng thành công và chia hoa hồng cảm ơn</t>
  </si>
  <si>
    <t>Xây dựng NestJS Controller, Service, Prisma ORM, kiểm tra ràng buộc dữ liệu DTO và xử lý Transaction ACID: Xác nhận doanh thu thực tế phát sinh từ cơ hội, ghi nhận đóng góp hiệp hội</t>
  </si>
  <si>
    <t>WBS-CRM_LEAD-0550</t>
  </si>
  <si>
    <t>[Logic Backend CSDL] Báo cáo thống kê hiệu quả mạng lưới kết nối kinh doanh (ROI Analytics)</t>
  </si>
  <si>
    <t>Xây dựng NestJS Controller, Service, Prisma ORM, kiểm tra ràng buộc dữ liệu DTO và xử lý Transaction ACID: Biểu đồ tổng giá trị giao thương, top hội viên tích cực trao cơ hội nhất</t>
  </si>
  <si>
    <t>WBS-CRM_LEAD-0551</t>
  </si>
  <si>
    <t>[Logic Backend CSDL] Tích hợp biểu mẫu thu thập thông tin trên trang chủ Landing Page</t>
  </si>
  <si>
    <t>Xây dựng NestJS Controller, Service, Prisma ORM, kiểm tra ràng buộc dữ liệu DTO và xử lý Transaction ACID: Biểu mẫu Đặt Demo nhúng trên Web tự động đẩy dữ liệu về CRM</t>
  </si>
  <si>
    <t>WBS-CRM_LEAD-0552</t>
  </si>
  <si>
    <t>[Logic Backend CSDL] Phân công xử lý Lead tự động theo quy tắc vòng tròn (Round-Robin)</t>
  </si>
  <si>
    <t>Xây dựng NestJS Controller, Service, Prisma ORM, kiểm tra ràng buộc dữ liệu DTO và xử lý Transaction ACID: Chia đều khách hàng tiềm năng cho các cán bộ phụ trách không thiên vị</t>
  </si>
  <si>
    <t>WBS-CRM_LEAD-0553</t>
  </si>
  <si>
    <t>[Logic Backend CSDL] Cảnh báo trùng lặp khách hàng tiềm năng qua Số điện thoại &amp; MST</t>
  </si>
  <si>
    <t>Xây dựng NestJS Controller, Service, Prisma ORM, kiểm tra ràng buộc dữ liệu DTO và xử lý Transaction ACID: Ngăn chặn 2 cán bộ cùng tiếp cận 1 doanh nghiệp gây phiền hà</t>
  </si>
  <si>
    <t>WBS-CRM_LEAD-0554</t>
  </si>
  <si>
    <t>[Logic Backend CSDL] Quản lý danh bạ người liên hệ theo từng doanh nghiệp (Company Contacts)</t>
  </si>
  <si>
    <t>Xây dựng NestJS Controller, Service, Prisma ORM, kiểm tra ràng buộc dữ liệu DTO và xử lý Transaction ACID: Lưu danh sách Chủ tịch, Tổng giám đốc, Giám đốc tài chính cùng công ty</t>
  </si>
  <si>
    <t>WBS-CRM_LEAD-0555</t>
  </si>
  <si>
    <t>[Logic Backend CSDL] Gắn nhãn phân loại cơ hội theo giá trị (Thỏa thuận nhỏ, vừa, lớn, khủng)</t>
  </si>
  <si>
    <t>Xây dựng NestJS Controller, Service, Prisma ORM, kiểm tra ràng buộc dữ liệu DTO và xử lý Transaction ACID: Tự động gán nhãn VIP Deal cho các hợp đồng có giá trị trên 5 tỷ VNĐ</t>
  </si>
  <si>
    <t>WBS-CRM_LEAD-0556</t>
  </si>
  <si>
    <t>[Logic Backend CSDL] Dự báo doanh thu giao thương theo xác suất chốt (Revenue Forecast)</t>
  </si>
  <si>
    <t>Xây dựng NestJS Controller, Service, Prisma ORM, kiểm tra ràng buộc dữ liệu DTO và xử lý Transaction ACID: Tính tổng doanh thu kỳ vọng = Giá trị hợp đồng x Tỷ lệ xác suất thành công</t>
  </si>
  <si>
    <t>WBS-CRM_LEAD-0557</t>
  </si>
  <si>
    <t>[Logic Backend CSDL] Xuất danh sách khách hàng tiềm năng ra file Excel phân tích</t>
  </si>
  <si>
    <t>Xây dựng NestJS Controller, Service, Prisma ORM, kiểm tra ràng buộc dữ liệu DTO và xử lý Transaction ACID: Hỗ trợ xuất toàn bộ dữ liệu kèm lịch sử tương tác và ghi chú</t>
  </si>
  <si>
    <t>WBS-CRM_LEAD-0558</t>
  </si>
  <si>
    <t>[Logic Backend CSDL] Nhập danh bạ khách hàng tiềm năng từ file Excel hội thảo</t>
  </si>
  <si>
    <t>Xây dựng NestJS Controller, Service, Prisma ORM, kiểm tra ràng buộc dữ liệu DTO và xử lý Transaction ACID: Nạp 500 khách từ file Excel danh sách khách dự hội thảo kinh tế</t>
  </si>
  <si>
    <t>WBS-CRM_LEAD-0559</t>
  </si>
  <si>
    <t>[Logic Backend CSDL] Tự động gửi email cảm ơn sau khi hoàn tất cuộc gọi chăm sóc</t>
  </si>
  <si>
    <t>Xây dựng NestJS Controller, Service, Prisma ORM, kiểm tra ràng buộc dữ liệu DTO và xử lý Transaction ACID: Tự động gửi email biên bản tóm tắt nội dung trao đổi cho khách hàng</t>
  </si>
  <si>
    <t>WBS-CRM_LEAD-0560</t>
  </si>
  <si>
    <t>[Logic Backend CSDL] Báo cáo tỷ lệ chuyển đổi khách hàng qua từng giai đoạn (Conversion Rate)</t>
  </si>
  <si>
    <t>Xây dựng NestJS Controller, Service, Prisma ORM, kiểm tra ràng buộc dữ liệu DTO và xử lý Transaction ACID: Biểu đồ phễu thu hẹp thể hiện tỷ lệ rơi rụng khách hàng qua các bước</t>
  </si>
  <si>
    <t>WBS-CRM_LEAD-0561</t>
  </si>
  <si>
    <t>Quản Lý Khách Hàng &amp; Cơ Hội Giao Thương [Giai đoạn: Tích Hợp Realtime, Hàng Đợi Worker &amp; Bảo Mật Granular RBAC]</t>
  </si>
  <si>
    <t>[Tích Hợp &amp; Bảo Mật] Tiếp nhận khách hàng tiềm năng (Leads) từ Web Portal &amp; Đặt demo</t>
  </si>
  <si>
    <t>Tích hợp phân quyền Granular RBAC, bảo vệ chống XSS/SQLi, caching Redis và cơ chế realtime/worker: Tự động tạo bản ghi lead, gán nguồn thu thập, phân công cán bộ chăm sóc</t>
  </si>
  <si>
    <t>WBS-CRM_LEAD-0562</t>
  </si>
  <si>
    <t>[Tích Hợp &amp; Bảo Mật] Chấm điểm tiềm năng khách hàng (Lead Scoring Algorithm)</t>
  </si>
  <si>
    <t>Tích hợp phân quyền Granular RBAC, bảo vệ chống XSS/SQLi, caching Redis và cơ chế realtime/worker: Tính điểm dựa trên quy mô công ty, doanh thu, độ khớp ngành nghề</t>
  </si>
  <si>
    <t>WBS-CRM_LEAD-0563</t>
  </si>
  <si>
    <t>[Tích Hợp &amp; Bảo Mật] Bảng Kanban phễu bán hàng và chăm sóc hội viên (Sales Pipeline)</t>
  </si>
  <si>
    <t>Tích hợp phân quyền Granular RBAC, bảo vệ chống XSS/SQLi, caching Redis và cơ chế realtime/worker: Kéo thả thẻ khách hàng qua các giai đoạn: Mới -&gt; Tiếp cận -&gt; Thẩm định -&gt; Kết nạp</t>
  </si>
  <si>
    <t>WBS-CRM_LEAD-0564</t>
  </si>
  <si>
    <t>[Tích Hợp &amp; Bảo Mật] Chuyển đổi khách hàng tiềm năng thành Hội viên chính thức 1-click</t>
  </si>
  <si>
    <t>Tích hợp phân quyền Granular RBAC, bảo vệ chống XSS/SQLi, caching Redis và cơ chế realtime/worker: Tự động chuyển thông tin Lead sang bảng members, sinh hóa đơn niên liễm</t>
  </si>
  <si>
    <t>WBS-CRM_LEAD-0565</t>
  </si>
  <si>
    <t>[Tích Hợp &amp; Bảo Mật] Ghi nhận dòng thời gian tương tác (Activity Timeline &amp; Notes)</t>
  </si>
  <si>
    <t>Tích hợp phân quyền Granular RBAC, bảo vệ chống XSS/SQLi, caching Redis và cơ chế realtime/worker: Lưu lịch sử cuộc gọi, biên bản họp, email trao đổi và nhiệm vụ cần làm</t>
  </si>
  <si>
    <t>WBS-CRM_LEAD-0566</t>
  </si>
  <si>
    <t>[Tích Hợp &amp; Bảo Mật] Đặt lịch nhắc việc và hẹn gặp doanh nhân tự động gửi thông báo</t>
  </si>
  <si>
    <t>Tích hợp phân quyền Granular RBAC, bảo vệ chống XSS/SQLi, caching Redis và cơ chế realtime/worker: Cảnh báo hạn chót nộp hồ sơ, nhắc lịch gặp mặt trước 30 phút qua SMS/Push</t>
  </si>
  <si>
    <t>WBS-CRM_LEAD-0567</t>
  </si>
  <si>
    <t>[Tích Hợp &amp; Bảo Mật] Trao cơ hội kinh doanh (Create Business Referral Opportunity)</t>
  </si>
  <si>
    <t>Tích hợp phân quyền Granular RBAC, bảo vệ chống XSS/SQLi, caching Redis và cơ chế realtime/worker: Hội viên A giới thiệu khách hàng lớn cho Hội viên B trong mạng lưới</t>
  </si>
  <si>
    <t>WBS-CRM_LEAD-0568</t>
  </si>
  <si>
    <t>[Tích Hợp &amp; Bảo Mật] Theo dõi trạng thái cơ hội kinh doanh: Đang đàm phán -&gt; Ký kết thành công</t>
  </si>
  <si>
    <t>Tích hợp phân quyền Granular RBAC, bảo vệ chống XSS/SQLi, caching Redis và cơ chế realtime/worker: Cập nhật tiến độ tiếp cận khách hàng được giới thiệu, bảo đảm minh bạch</t>
  </si>
  <si>
    <t>WBS-CRM_LEAD-0569</t>
  </si>
  <si>
    <t>[Tích Hợp &amp; Bảo Mật] Ghi nhận giá trị hợp đồng thành công và chia hoa hồng cảm ơn</t>
  </si>
  <si>
    <t>Tích hợp phân quyền Granular RBAC, bảo vệ chống XSS/SQLi, caching Redis và cơ chế realtime/worker: Xác nhận doanh thu thực tế phát sinh từ cơ hội, ghi nhận đóng góp hiệp hội</t>
  </si>
  <si>
    <t>WBS-CRM_LEAD-0570</t>
  </si>
  <si>
    <t>[Tích Hợp &amp; Bảo Mật] Báo cáo thống kê hiệu quả mạng lưới kết nối kinh doanh (ROI Analytics)</t>
  </si>
  <si>
    <t>Tích hợp phân quyền Granular RBAC, bảo vệ chống XSS/SQLi, caching Redis và cơ chế realtime/worker: Biểu đồ tổng giá trị giao thương, top hội viên tích cực trao cơ hội nhất</t>
  </si>
  <si>
    <t>WBS-CRM_LEAD-0571</t>
  </si>
  <si>
    <t>[Tích Hợp &amp; Bảo Mật] Tích hợp biểu mẫu thu thập thông tin trên trang chủ Landing Page</t>
  </si>
  <si>
    <t>Tích hợp phân quyền Granular RBAC, bảo vệ chống XSS/SQLi, caching Redis và cơ chế realtime/worker: Biểu mẫu Đặt Demo nhúng trên Web tự động đẩy dữ liệu về CRM</t>
  </si>
  <si>
    <t>WBS-CRM_LEAD-0572</t>
  </si>
  <si>
    <t>[Tích Hợp &amp; Bảo Mật] Phân công xử lý Lead tự động theo quy tắc vòng tròn (Round-Robin)</t>
  </si>
  <si>
    <t>Tích hợp phân quyền Granular RBAC, bảo vệ chống XSS/SQLi, caching Redis và cơ chế realtime/worker: Chia đều khách hàng tiềm năng cho các cán bộ phụ trách không thiên vị</t>
  </si>
  <si>
    <t>WBS-CRM_LEAD-0573</t>
  </si>
  <si>
    <t>[Tích Hợp &amp; Bảo Mật] Cảnh báo trùng lặp khách hàng tiềm năng qua Số điện thoại &amp; MST</t>
  </si>
  <si>
    <t>Tích hợp phân quyền Granular RBAC, bảo vệ chống XSS/SQLi, caching Redis và cơ chế realtime/worker: Ngăn chặn 2 cán bộ cùng tiếp cận 1 doanh nghiệp gây phiền hà</t>
  </si>
  <si>
    <t>WBS-CRM_LEAD-0574</t>
  </si>
  <si>
    <t>[Tích Hợp &amp; Bảo Mật] Quản lý danh bạ người liên hệ theo từng doanh nghiệp (Company Contacts)</t>
  </si>
  <si>
    <t>Tích hợp phân quyền Granular RBAC, bảo vệ chống XSS/SQLi, caching Redis và cơ chế realtime/worker: Lưu danh sách Chủ tịch, Tổng giám đốc, Giám đốc tài chính cùng công ty</t>
  </si>
  <si>
    <t>WBS-CRM_LEAD-0575</t>
  </si>
  <si>
    <t>[Tích Hợp &amp; Bảo Mật] Gắn nhãn phân loại cơ hội theo giá trị (Thỏa thuận nhỏ, vừa, lớn, khủng)</t>
  </si>
  <si>
    <t>Tích hợp phân quyền Granular RBAC, bảo vệ chống XSS/SQLi, caching Redis và cơ chế realtime/worker: Tự động gán nhãn VIP Deal cho các hợp đồng có giá trị trên 5 tỷ VNĐ</t>
  </si>
  <si>
    <t>WBS-CRM_LEAD-0576</t>
  </si>
  <si>
    <t>[Tích Hợp &amp; Bảo Mật] Dự báo doanh thu giao thương theo xác suất chốt (Revenue Forecast)</t>
  </si>
  <si>
    <t>Tích hợp phân quyền Granular RBAC, bảo vệ chống XSS/SQLi, caching Redis và cơ chế realtime/worker: Tính tổng doanh thu kỳ vọng = Giá trị hợp đồng x Tỷ lệ xác suất thành công</t>
  </si>
  <si>
    <t>WBS-CRM_LEAD-0577</t>
  </si>
  <si>
    <t>[Tích Hợp &amp; Bảo Mật] Xuất danh sách khách hàng tiềm năng ra file Excel phân tích</t>
  </si>
  <si>
    <t>Tích hợp phân quyền Granular RBAC, bảo vệ chống XSS/SQLi, caching Redis và cơ chế realtime/worker: Hỗ trợ xuất toàn bộ dữ liệu kèm lịch sử tương tác và ghi chú</t>
  </si>
  <si>
    <t>WBS-CRM_LEAD-0578</t>
  </si>
  <si>
    <t>[Tích Hợp &amp; Bảo Mật] Nhập danh bạ khách hàng tiềm năng từ file Excel hội thảo</t>
  </si>
  <si>
    <t>Tích hợp phân quyền Granular RBAC, bảo vệ chống XSS/SQLi, caching Redis và cơ chế realtime/worker: Nạp 500 khách từ file Excel danh sách khách dự hội thảo kinh tế</t>
  </si>
  <si>
    <t>WBS-CRM_LEAD-0579</t>
  </si>
  <si>
    <t>[Tích Hợp &amp; Bảo Mật] Tự động gửi email cảm ơn sau khi hoàn tất cuộc gọi chăm sóc</t>
  </si>
  <si>
    <t>Tích hợp phân quyền Granular RBAC, bảo vệ chống XSS/SQLi, caching Redis và cơ chế realtime/worker: Tự động gửi email biên bản tóm tắt nội dung trao đổi cho khách hàng</t>
  </si>
  <si>
    <t>WBS-CRM_LEAD-0580</t>
  </si>
  <si>
    <t>[Tích Hợp &amp; Bảo Mật] Báo cáo tỷ lệ chuyển đổi khách hàng qua từng giai đoạn (Conversion Rate)</t>
  </si>
  <si>
    <t>Tích hợp phân quyền Granular RBAC, bảo vệ chống XSS/SQLi, caching Redis và cơ chế realtime/worker: Biểu đồ phễu thu hẹp thể hiện tỷ lệ rơi rụng khách hàng qua các bước</t>
  </si>
  <si>
    <t>WBS-CRM_LEAD-0581</t>
  </si>
  <si>
    <t>Quản Lý Khách Hàng &amp; Cơ Hội Giao Thương [Giai đoạn: Kiểm Thử Tự Động Toàn Diện E2E, Hiệu Năng &amp; Nghiệm Thu UAT]</t>
  </si>
  <si>
    <t>[Kiểm Thử E2E &amp; UAT] Tiếp nhận khách hàng tiềm năng (Leads) từ Web Portal &amp; Đặt demo</t>
  </si>
  <si>
    <t>Kiểm thử hộp đen/hộp trắng toàn diện, kiểm tra tải đồng thời, đối soát dữ liệu và nghiệm thu Ban Lãnh Đạo: Tự động tạo bản ghi lead, gán nguồn thu thập, phân công cán bộ chăm sóc</t>
  </si>
  <si>
    <t>WBS-CRM_LEAD-0582</t>
  </si>
  <si>
    <t>[Kiểm Thử E2E &amp; UAT] Chấm điểm tiềm năng khách hàng (Lead Scoring Algorithm)</t>
  </si>
  <si>
    <t>Kiểm thử hộp đen/hộp trắng toàn diện, kiểm tra tải đồng thời, đối soát dữ liệu và nghiệm thu Ban Lãnh Đạo: Tính điểm dựa trên quy mô công ty, doanh thu, độ khớp ngành nghề</t>
  </si>
  <si>
    <t>WBS-CRM_LEAD-0583</t>
  </si>
  <si>
    <t>[Kiểm Thử E2E &amp; UAT] Bảng Kanban phễu bán hàng và chăm sóc hội viên (Sales Pipeline)</t>
  </si>
  <si>
    <t>Kiểm thử hộp đen/hộp trắng toàn diện, kiểm tra tải đồng thời, đối soát dữ liệu và nghiệm thu Ban Lãnh Đạo: Kéo thả thẻ khách hàng qua các giai đoạn: Mới -&gt; Tiếp cận -&gt; Thẩm định -&gt; Kết nạp</t>
  </si>
  <si>
    <t>WBS-CRM_LEAD-0584</t>
  </si>
  <si>
    <t>[Kiểm Thử E2E &amp; UAT] Chuyển đổi khách hàng tiềm năng thành Hội viên chính thức 1-click</t>
  </si>
  <si>
    <t>Kiểm thử hộp đen/hộp trắng toàn diện, kiểm tra tải đồng thời, đối soát dữ liệu và nghiệm thu Ban Lãnh Đạo: Tự động chuyển thông tin Lead sang bảng members, sinh hóa đơn niên liễm</t>
  </si>
  <si>
    <t>WBS-CRM_LEAD-0585</t>
  </si>
  <si>
    <t>[Kiểm Thử E2E &amp; UAT] Ghi nhận dòng thời gian tương tác (Activity Timeline &amp; Notes)</t>
  </si>
  <si>
    <t>Kiểm thử hộp đen/hộp trắng toàn diện, kiểm tra tải đồng thời, đối soát dữ liệu và nghiệm thu Ban Lãnh Đạo: Lưu lịch sử cuộc gọi, biên bản họp, email trao đổi và nhiệm vụ cần làm</t>
  </si>
  <si>
    <t>WBS-CRM_LEAD-0586</t>
  </si>
  <si>
    <t>[Kiểm Thử E2E &amp; UAT] Đặt lịch nhắc việc và hẹn gặp doanh nhân tự động gửi thông báo</t>
  </si>
  <si>
    <t>Kiểm thử hộp đen/hộp trắng toàn diện, kiểm tra tải đồng thời, đối soát dữ liệu và nghiệm thu Ban Lãnh Đạo: Cảnh báo hạn chót nộp hồ sơ, nhắc lịch gặp mặt trước 30 phút qua SMS/Push</t>
  </si>
  <si>
    <t>WBS-CRM_LEAD-0587</t>
  </si>
  <si>
    <t>[Kiểm Thử E2E &amp; UAT] Trao cơ hội kinh doanh (Create Business Referral Opportunity)</t>
  </si>
  <si>
    <t>Kiểm thử hộp đen/hộp trắng toàn diện, kiểm tra tải đồng thời, đối soát dữ liệu và nghiệm thu Ban Lãnh Đạo: Hội viên A giới thiệu khách hàng lớn cho Hội viên B trong mạng lưới</t>
  </si>
  <si>
    <t>WBS-CRM_LEAD-0588</t>
  </si>
  <si>
    <t>[Kiểm Thử E2E &amp; UAT] Theo dõi trạng thái cơ hội kinh doanh: Đang đàm phán -&gt; Ký kết thành công</t>
  </si>
  <si>
    <t>Kiểm thử hộp đen/hộp trắng toàn diện, kiểm tra tải đồng thời, đối soát dữ liệu và nghiệm thu Ban Lãnh Đạo: Cập nhật tiến độ tiếp cận khách hàng được giới thiệu, bảo đảm minh bạch</t>
  </si>
  <si>
    <t>WBS-CRM_LEAD-0589</t>
  </si>
  <si>
    <t>[Kiểm Thử E2E &amp; UAT] Ghi nhận giá trị hợp đồng thành công và chia hoa hồng cảm ơn</t>
  </si>
  <si>
    <t>Kiểm thử hộp đen/hộp trắng toàn diện, kiểm tra tải đồng thời, đối soát dữ liệu và nghiệm thu Ban Lãnh Đạo: Xác nhận doanh thu thực tế phát sinh từ cơ hội, ghi nhận đóng góp hiệp hội</t>
  </si>
  <si>
    <t>WBS-CRM_LEAD-0590</t>
  </si>
  <si>
    <t>[Kiểm Thử E2E &amp; UAT] Báo cáo thống kê hiệu quả mạng lưới kết nối kinh doanh (ROI Analytics)</t>
  </si>
  <si>
    <t>Kiểm thử hộp đen/hộp trắng toàn diện, kiểm tra tải đồng thời, đối soát dữ liệu và nghiệm thu Ban Lãnh Đạo: Biểu đồ tổng giá trị giao thương, top hội viên tích cực trao cơ hội nhất</t>
  </si>
  <si>
    <t>WBS-CRM_LEAD-0591</t>
  </si>
  <si>
    <t>[Kiểm Thử E2E &amp; UAT] Tích hợp biểu mẫu thu thập thông tin trên trang chủ Landing Page</t>
  </si>
  <si>
    <t>Kiểm thử hộp đen/hộp trắng toàn diện, kiểm tra tải đồng thời, đối soát dữ liệu và nghiệm thu Ban Lãnh Đạo: Biểu mẫu Đặt Demo nhúng trên Web tự động đẩy dữ liệu về CRM</t>
  </si>
  <si>
    <t>WBS-CRM_LEAD-0592</t>
  </si>
  <si>
    <t>[Kiểm Thử E2E &amp; UAT] Phân công xử lý Lead tự động theo quy tắc vòng tròn (Round-Robin)</t>
  </si>
  <si>
    <t>Kiểm thử hộp đen/hộp trắng toàn diện, kiểm tra tải đồng thời, đối soát dữ liệu và nghiệm thu Ban Lãnh Đạo: Chia đều khách hàng tiềm năng cho các cán bộ phụ trách không thiên vị</t>
  </si>
  <si>
    <t>WBS-CRM_LEAD-0593</t>
  </si>
  <si>
    <t>[Kiểm Thử E2E &amp; UAT] Cảnh báo trùng lặp khách hàng tiềm năng qua Số điện thoại &amp; MST</t>
  </si>
  <si>
    <t>Kiểm thử hộp đen/hộp trắng toàn diện, kiểm tra tải đồng thời, đối soát dữ liệu và nghiệm thu Ban Lãnh Đạo: Ngăn chặn 2 cán bộ cùng tiếp cận 1 doanh nghiệp gây phiền hà</t>
  </si>
  <si>
    <t>WBS-CRM_LEAD-0594</t>
  </si>
  <si>
    <t>[Kiểm Thử E2E &amp; UAT] Quản lý danh bạ người liên hệ theo từng doanh nghiệp (Company Contacts)</t>
  </si>
  <si>
    <t>Kiểm thử hộp đen/hộp trắng toàn diện, kiểm tra tải đồng thời, đối soát dữ liệu và nghiệm thu Ban Lãnh Đạo: Lưu danh sách Chủ tịch, Tổng giám đốc, Giám đốc tài chính cùng công ty</t>
  </si>
  <si>
    <t>WBS-CRM_LEAD-0595</t>
  </si>
  <si>
    <t>[Kiểm Thử E2E &amp; UAT] Gắn nhãn phân loại cơ hội theo giá trị (Thỏa thuận nhỏ, vừa, lớn, khủng)</t>
  </si>
  <si>
    <t>Kiểm thử hộp đen/hộp trắng toàn diện, kiểm tra tải đồng thời, đối soát dữ liệu và nghiệm thu Ban Lãnh Đạo: Tự động gán nhãn VIP Deal cho các hợp đồng có giá trị trên 5 tỷ VNĐ</t>
  </si>
  <si>
    <t>WBS-CRM_LEAD-0596</t>
  </si>
  <si>
    <t>[Kiểm Thử E2E &amp; UAT] Dự báo doanh thu giao thương theo xác suất chốt (Revenue Forecast)</t>
  </si>
  <si>
    <t>Kiểm thử hộp đen/hộp trắng toàn diện, kiểm tra tải đồng thời, đối soát dữ liệu và nghiệm thu Ban Lãnh Đạo: Tính tổng doanh thu kỳ vọng = Giá trị hợp đồng x Tỷ lệ xác suất thành công</t>
  </si>
  <si>
    <t>WBS-CRM_LEAD-0597</t>
  </si>
  <si>
    <t>[Kiểm Thử E2E &amp; UAT] Xuất danh sách khách hàng tiềm năng ra file Excel phân tích</t>
  </si>
  <si>
    <t>Kiểm thử hộp đen/hộp trắng toàn diện, kiểm tra tải đồng thời, đối soát dữ liệu và nghiệm thu Ban Lãnh Đạo: Hỗ trợ xuất toàn bộ dữ liệu kèm lịch sử tương tác và ghi chú</t>
  </si>
  <si>
    <t>WBS-CRM_LEAD-0598</t>
  </si>
  <si>
    <t>[Kiểm Thử E2E &amp; UAT] Nhập danh bạ khách hàng tiềm năng từ file Excel hội thảo</t>
  </si>
  <si>
    <t>Kiểm thử hộp đen/hộp trắng toàn diện, kiểm tra tải đồng thời, đối soát dữ liệu và nghiệm thu Ban Lãnh Đạo: Nạp 500 khách từ file Excel danh sách khách dự hội thảo kinh tế</t>
  </si>
  <si>
    <t>WBS-CRM_LEAD-0599</t>
  </si>
  <si>
    <t>[Kiểm Thử E2E &amp; UAT] Tự động gửi email cảm ơn sau khi hoàn tất cuộc gọi chăm sóc</t>
  </si>
  <si>
    <t>Kiểm thử hộp đen/hộp trắng toàn diện, kiểm tra tải đồng thời, đối soát dữ liệu và nghiệm thu Ban Lãnh Đạo: Tự động gửi email biên bản tóm tắt nội dung trao đổi cho khách hàng</t>
  </si>
  <si>
    <t>WBS-CRM_LEAD-0600</t>
  </si>
  <si>
    <t>[Kiểm Thử E2E &amp; UAT] Báo cáo tỷ lệ chuyển đổi khách hàng qua từng giai đoạn (Conversion Rate)</t>
  </si>
  <si>
    <t>Kiểm thử hộp đen/hộp trắng toàn diện, kiểm tra tải đồng thời, đối soát dữ liệu và nghiệm thu Ban Lãnh Đạo: Biểu đồ phễu thu hẹp thể hiện tỷ lệ rơi rụng khách hàng qua các bước</t>
  </si>
  <si>
    <t>VIONE MASTER WBS: MẪU EMAIL, TRÌNH SOẠN THẢO &amp; CHIẾN DỊCH TRUYỀN THÔNG</t>
  </si>
  <si>
    <t>WBS-EMAIL_MKT-0601</t>
  </si>
  <si>
    <t>Email Marketing &amp; Truyền Thông Tự Động [Giai đoạn: Khởi Tạo, Phân Tích Nghiệp Vụ &amp; Mô Hình Dữ Liệu]</t>
  </si>
  <si>
    <t>[Kiến Trúc &amp; Schema] Trình soạn thảo mẫu Email trực quan WYSIWYG chuyên nghiệp</t>
  </si>
  <si>
    <t>Phân tích yêu cầu nghiệp vụ, thiết kế bảng dữ liệu CSDL PostgreSQL, đặc tả API RESTful và luồng nghiệp vụ chi tiết cho: Hỗ trợ kéo thả khối văn bản, hình ảnh, nút bấm CTA, chân trang hiệp hội</t>
  </si>
  <si>
    <t>/email/templates/builder</t>
  </si>
  <si>
    <t>Ban Truyền Thông</t>
  </si>
  <si>
    <t>WYSIWYG Email Engine</t>
  </si>
  <si>
    <t>WBS-EMAIL_MKT-0602</t>
  </si>
  <si>
    <t>[Kiến Trúc &amp; Schema] Thư viện thẻ trộn dữ liệu động (Merge Tags: Tên, Chức danh, Hóa đơn)</t>
  </si>
  <si>
    <t>Phân tích yêu cầu nghiệp vụ, thiết kế bảng dữ liệu CSDL PostgreSQL, đặc tả API RESTful và luồng nghiệp vụ chi tiết cho: Chèn tự động `{{ho_ten}}`, `{{ten_doanh_nghiep}}`, `{{so_tien_phi}}`</t>
  </si>
  <si>
    <t>/email/templates/tags</t>
  </si>
  <si>
    <t>Template Interpolation</t>
  </si>
  <si>
    <t>WBS-EMAIL_MKT-0603</t>
  </si>
  <si>
    <t>[Kiến Trúc &amp; Schema] Kho mẫu email định dạng chuẩn: Thư mời Gala, Chúc mừng sinh nhật, Nhắc phí</t>
  </si>
  <si>
    <t>Phân tích yêu cầu nghiệp vụ, thiết kế bảng dữ liệu CSDL PostgreSQL, đặc tả API RESTful và luồng nghiệp vụ chi tiết cho: Cung cấp sẵn 10 mẫu email thiết kế sang trọng chuẩn ngoại giao hiệp hội</t>
  </si>
  <si>
    <t>/email/templates/library</t>
  </si>
  <si>
    <t>Responsive HTML Templates</t>
  </si>
  <si>
    <t>WBS-EMAIL_MKT-0604</t>
  </si>
  <si>
    <t>[Kiến Trúc &amp; Schema] Tạo chiến dịch gửi Email Marketing theo phân nhóm đối tượng</t>
  </si>
  <si>
    <t>Phân tích yêu cầu nghiệp vụ, thiết kế bảng dữ liệu CSDL PostgreSQL, đặc tả API RESTful và luồng nghiệp vụ chi tiết cho: Lọc danh sách nhận theo tiêu chí: Hội viên Kim Cương, Nợ phí, Doanh nghiệp BĐS</t>
  </si>
  <si>
    <t>/email/campaigns/create</t>
  </si>
  <si>
    <t>Segmented Email Dispatch</t>
  </si>
  <si>
    <t>WBS-EMAIL_MKT-0605</t>
  </si>
  <si>
    <t>[Kiến Trúc &amp; Schema] Hàng đợi gửi Email số lượng lớn chống nghẽn và chống rơi vào Spam</t>
  </si>
  <si>
    <t>Phân tích yêu cầu nghiệp vụ, thiết kế bảng dữ liệu CSDL PostgreSQL, đặc tả API RESTful và luồng nghiệp vụ chi tiết cho: Phân luồng gửi 100 email mỗi phút qua hàng đợi Redis BullMQ</t>
  </si>
  <si>
    <t>/api/email/queue-worker</t>
  </si>
  <si>
    <t>BullMQ &amp; Redis Workers</t>
  </si>
  <si>
    <t>WBS-EMAIL_MKT-0606</t>
  </si>
  <si>
    <t>[Kiến Trúc &amp; Schema] Theo dõi tỷ lệ mở email (Open Rate Tracking) qua tracking pixel</t>
  </si>
  <si>
    <t>Phân tích yêu cầu nghiệp vụ, thiết kế bảng dữ liệu CSDL PostgreSQL, đặc tả API RESTful và luồng nghiệp vụ chi tiết cho: Nhúng ảnh trong suốt 1x1px ghi nhận chính xác thời điểm hội viên đọc thư</t>
  </si>
  <si>
    <t>/api/email/track-open</t>
  </si>
  <si>
    <t>Pixel Tracking Endpoint</t>
  </si>
  <si>
    <t>WBS-EMAIL_MKT-0607</t>
  </si>
  <si>
    <t>[Kiến Trúc &amp; Schema] Theo dõi tỷ lệ bấm link (Click-through Rate Tracking)</t>
  </si>
  <si>
    <t>Phân tích yêu cầu nghiệp vụ, thiết kế bảng dữ liệu CSDL PostgreSQL, đặc tả API RESTful và luồng nghiệp vụ chi tiết cho: Chuyển hướng liên kết qua gateway đếm lượt click trước khi sang trang đích</t>
  </si>
  <si>
    <t>/api/email/track-click</t>
  </si>
  <si>
    <t>Link Redirect Counter</t>
  </si>
  <si>
    <t>WBS-EMAIL_MKT-0608</t>
  </si>
  <si>
    <t>[Kiến Trúc &amp; Schema] Xử lý từ chối nhận thư (Unsubscribe Opt-out) tuân thủ luật an ninh mạng</t>
  </si>
  <si>
    <t>Phân tích yêu cầu nghiệp vụ, thiết kế bảng dữ liệu CSDL PostgreSQL, đặc tả API RESTful và luồng nghiệp vụ chi tiết cho: Hỗ trợ hội viên hủy đăng ký nhận bản tin với 1-click, cập nhật danh sách chặn</t>
  </si>
  <si>
    <t>/email/unsubscribe</t>
  </si>
  <si>
    <t>CAN-SPAM Compliance</t>
  </si>
  <si>
    <t>WBS-EMAIL_MKT-0609</t>
  </si>
  <si>
    <t>[Kiến Trúc &amp; Schema] Tích hợp máy chủ SMTP doanh nghiệp an toàn (Amazon SES, SendGrid)</t>
  </si>
  <si>
    <t>Phân tích yêu cầu nghiệp vụ, thiết kế bảng dữ liệu CSDL PostgreSQL, đặc tả API RESTful và luồng nghiệp vụ chi tiết cho: Cấu hình DKIM, SPF, DMARC bảo đảm tỷ lệ vào hộp thư chính Inbox 99%</t>
  </si>
  <si>
    <t>/admin/smtp-settings</t>
  </si>
  <si>
    <t>Kỹ Sư DevOps</t>
  </si>
  <si>
    <t>DKIM &amp; SPF Records</t>
  </si>
  <si>
    <t>WBS-EMAIL_MKT-0610</t>
  </si>
  <si>
    <t>[Kiến Trúc &amp; Schema] Báo cáo thống kê chiến dịch truyền thông đa chiều theo thời gian thực</t>
  </si>
  <si>
    <t>Phân tích yêu cầu nghiệp vụ, thiết kế bảng dữ liệu CSDL PostgreSQL, đặc tả API RESTful và luồng nghiệp vụ chi tiết cho: Biểu đồ tỷ lệ gửi thành công, tỷ lệ mở, tỷ lệ click theo từng chiến dịch</t>
  </si>
  <si>
    <t>/email/campaigns/:id/report</t>
  </si>
  <si>
    <t>Campaign Performance Analytics</t>
  </si>
  <si>
    <t>WBS-EMAIL_MKT-0611</t>
  </si>
  <si>
    <t>[Kiến Trúc &amp; Schema] Kiểm tra lỗi hiển thị email trên nhiều ứng dụng hòm thư (Litmus Test)</t>
  </si>
  <si>
    <t>Phân tích yêu cầu nghiệp vụ, thiết kế bảng dữ liệu CSDL PostgreSQL, đặc tả API RESTful và luồng nghiệp vụ chi tiết cho: Xem trước bản render trên Gmail, Outlook Desktop, Apple Mail, Webmail</t>
  </si>
  <si>
    <t>/email/preview-clients</t>
  </si>
  <si>
    <t>Email Rendering Engine</t>
  </si>
  <si>
    <t>WBS-EMAIL_MKT-0612</t>
  </si>
  <si>
    <t>[Kiến Trúc &amp; Schema] Thiết lập chiến dịch gửi email định kỳ tự động (Recurring Campaign)</t>
  </si>
  <si>
    <t>Phân tích yêu cầu nghiệp vụ, thiết kế bảng dữ liệu CSDL PostgreSQL, đặc tả API RESTful và luồng nghiệp vụ chi tiết cho: Tự động gửi bản tin thị trường vào 8h00 sáng thứ Hai hàng tuần</t>
  </si>
  <si>
    <t>/email/recurring</t>
  </si>
  <si>
    <t>Cron Schedule Dispatch</t>
  </si>
  <si>
    <t>WBS-EMAIL_MKT-0613</t>
  </si>
  <si>
    <t>[Kiến Trúc &amp; Schema] Thử nghiệm A/B Testing tiêu đề thư tối ưu hóa tỷ lệ mở</t>
  </si>
  <si>
    <t>Phân tích yêu cầu nghiệp vụ, thiết kế bảng dữ liệu CSDL PostgreSQL, đặc tả API RESTful và luồng nghiệp vụ chi tiết cho: Gửi 2 tiêu đề khác nhau cho 20% danh sách, chọn tiêu đề thắng gửi cho 80%</t>
  </si>
  <si>
    <t>/email/ab-testing</t>
  </si>
  <si>
    <t>A/B Testing Dispatcher</t>
  </si>
  <si>
    <t>WBS-EMAIL_MKT-0614</t>
  </si>
  <si>
    <t>[Kiến Trúc &amp; Schema] Tự động dọn dẹp địa chỉ email chết (Bounce Management)</t>
  </si>
  <si>
    <t>Phân tích yêu cầu nghiệp vụ, thiết kế bảng dữ liệu CSDL PostgreSQL, đặc tả API RESTful và luồng nghiệp vụ chi tiết cho: Tự động đánh dấu và loại bỏ các email bị hard bounce sau 1 lần gửi</t>
  </si>
  <si>
    <t>/email/bounce-handler</t>
  </si>
  <si>
    <t>Bounce Webhook Handler</t>
  </si>
  <si>
    <t>WBS-EMAIL_MKT-0615</t>
  </si>
  <si>
    <t>[Kiến Trúc &amp; Schema] Cảnh báo nội dung có nguy cơ bị bộ lọc Spam chặn (Spam Score Checker)</t>
  </si>
  <si>
    <t>Phân tích yêu cầu nghiệp vụ, thiết kế bảng dữ liệu CSDL PostgreSQL, đặc tả API RESTful và luồng nghiệp vụ chi tiết cho: Chấm điểm từ khóa nhạy cảm trong tiêu đề và nội dung trước khi gửi</t>
  </si>
  <si>
    <t>/email/spam-checker</t>
  </si>
  <si>
    <t>SpamAssassin Scoring</t>
  </si>
  <si>
    <t>WBS-EMAIL_MKT-0616</t>
  </si>
  <si>
    <t>[Kiến Trúc &amp; Schema] Đính kèm tệp văn kiện PDF dung lượng tối đa 10MB trong email</t>
  </si>
  <si>
    <t>Phân tích yêu cầu nghiệp vụ, thiết kế bảng dữ liệu CSDL PostgreSQL, đặc tả API RESTful và luồng nghiệp vụ chi tiết cho: Nén tệp tin và lưu trữ cloud link nếu file vượt quá dung lượng cho phép</t>
  </si>
  <si>
    <t>/email/attachments</t>
  </si>
  <si>
    <t>Attachment Storage Proxy</t>
  </si>
  <si>
    <t>WBS-EMAIL_MKT-0617</t>
  </si>
  <si>
    <t>[Kiến Trúc &amp; Schema] Phân quyền phê duyệt chiến dịch trước khi gửi hàng loạt</t>
  </si>
  <si>
    <t>Phân tích yêu cầu nghiệp vụ, thiết kế bảng dữ liệu CSDL PostgreSQL, đặc tả API RESTful và luồng nghiệp vụ chi tiết cho: Nhân viên soạn thảo chiến dịch, Trưởng ban duyệt nội dung mới được gửi</t>
  </si>
  <si>
    <t>/email/approval-workflow</t>
  </si>
  <si>
    <t>Campaign Approval Workflow</t>
  </si>
  <si>
    <t>WBS-EMAIL_MKT-0618</t>
  </si>
  <si>
    <t>[Kiến Trúc &amp; Schema] Xem lại nhật ký lịch sử gửi thư của từng hội viên cụ thể</t>
  </si>
  <si>
    <t>Phân tích yêu cầu nghiệp vụ, thiết kế bảng dữ liệu CSDL PostgreSQL, đặc tả API RESTful và luồng nghiệp vụ chi tiết cho: Xem danh sách toàn bộ email hiệp hội đã gửi cho hội viên A từ trước đến nay</t>
  </si>
  <si>
    <t>/members/:id/email-history</t>
  </si>
  <si>
    <t>Member Email Audit Trail</t>
  </si>
  <si>
    <t>WBS-EMAIL_MKT-0619</t>
  </si>
  <si>
    <t>[Kiến Trúc &amp; Schema] Tạo chiến dịch email chúc mừng sinh nhật hội viên tự động mỗi ngày</t>
  </si>
  <si>
    <t>Phân tích yêu cầu nghiệp vụ, thiết kế bảng dữ liệu CSDL PostgreSQL, đặc tả API RESTful và luồng nghiệp vụ chi tiết cho: Hệ thống quét ngày sinh nhật lúc 7h00 sáng và tự động gửi thiệp chúc mừng</t>
  </si>
  <si>
    <t>/email/birthday-bot</t>
  </si>
  <si>
    <t>Daily Birthday Cron</t>
  </si>
  <si>
    <t>WBS-EMAIL_MKT-0620</t>
  </si>
  <si>
    <t>[Kiến Trúc &amp; Schema] Xuất báo cáo tổng kết truyền thông email ra file Excel và PDF</t>
  </si>
  <si>
    <t>Phân tích yêu cầu nghiệp vụ, thiết kế bảng dữ liệu CSDL PostgreSQL, đặc tả API RESTful và luồng nghiệp vụ chi tiết cho: Xuất bảng tổng hợp số liệu chiến dịch phục vụ báo cáo đại hội thường niên</t>
  </si>
  <si>
    <t>/email/reports/export</t>
  </si>
  <si>
    <t>Formatted Report Export</t>
  </si>
  <si>
    <t>WBS-EMAIL_MKT-0621</t>
  </si>
  <si>
    <t>Email Marketing &amp; Truyền Thông Tự Động [Giai đoạn: Xây Dựng Giao Diện Người Dùng Frontend (Desktop &amp; Mobile)]</t>
  </si>
  <si>
    <t>[Giao Diện Frontend] Trình soạn thảo mẫu Email trực quan WYSIWYG chuyên nghiệp</t>
  </si>
  <si>
    <t>Phát triển giao diện React/Tailwind, tối ưu hóa responsive di động, xử lý trạng thái loading/error/empty state: Hỗ trợ kéo thả khối văn bản, hình ảnh, nút bấm CTA, chân trang hiệp hội</t>
  </si>
  <si>
    <t>WBS-EMAIL_MKT-0622</t>
  </si>
  <si>
    <t>[Giao Diện Frontend] Thư viện thẻ trộn dữ liệu động (Merge Tags: Tên, Chức danh, Hóa đơn)</t>
  </si>
  <si>
    <t>Phát triển giao diện React/Tailwind, tối ưu hóa responsive di động, xử lý trạng thái loading/error/empty state: Chèn tự động `{{ho_ten}}`, `{{ten_doanh_nghiep}}`, `{{so_tien_phi}}`</t>
  </si>
  <si>
    <t>WBS-EMAIL_MKT-0623</t>
  </si>
  <si>
    <t>[Giao Diện Frontend] Kho mẫu email định dạng chuẩn: Thư mời Gala, Chúc mừng sinh nhật, Nhắc phí</t>
  </si>
  <si>
    <t>Phát triển giao diện React/Tailwind, tối ưu hóa responsive di động, xử lý trạng thái loading/error/empty state: Cung cấp sẵn 10 mẫu email thiết kế sang trọng chuẩn ngoại giao hiệp hội</t>
  </si>
  <si>
    <t>WBS-EMAIL_MKT-0624</t>
  </si>
  <si>
    <t>[Giao Diện Frontend] Tạo chiến dịch gửi Email Marketing theo phân nhóm đối tượng</t>
  </si>
  <si>
    <t>Phát triển giao diện React/Tailwind, tối ưu hóa responsive di động, xử lý trạng thái loading/error/empty state: Lọc danh sách nhận theo tiêu chí: Hội viên Kim Cương, Nợ phí, Doanh nghiệp BĐS</t>
  </si>
  <si>
    <t>WBS-EMAIL_MKT-0625</t>
  </si>
  <si>
    <t>[Giao Diện Frontend] Hàng đợi gửi Email số lượng lớn chống nghẽn và chống rơi vào Spam</t>
  </si>
  <si>
    <t>Phát triển giao diện React/Tailwind, tối ưu hóa responsive di động, xử lý trạng thái loading/error/empty state: Phân luồng gửi 100 email mỗi phút qua hàng đợi Redis BullMQ</t>
  </si>
  <si>
    <t>WBS-EMAIL_MKT-0626</t>
  </si>
  <si>
    <t>[Giao Diện Frontend] Theo dõi tỷ lệ mở email (Open Rate Tracking) qua tracking pixel</t>
  </si>
  <si>
    <t>Phát triển giao diện React/Tailwind, tối ưu hóa responsive di động, xử lý trạng thái loading/error/empty state: Nhúng ảnh trong suốt 1x1px ghi nhận chính xác thời điểm hội viên đọc thư</t>
  </si>
  <si>
    <t>WBS-EMAIL_MKT-0627</t>
  </si>
  <si>
    <t>[Giao Diện Frontend] Theo dõi tỷ lệ bấm link (Click-through Rate Tracking)</t>
  </si>
  <si>
    <t>Phát triển giao diện React/Tailwind, tối ưu hóa responsive di động, xử lý trạng thái loading/error/empty state: Chuyển hướng liên kết qua gateway đếm lượt click trước khi sang trang đích</t>
  </si>
  <si>
    <t>WBS-EMAIL_MKT-0628</t>
  </si>
  <si>
    <t>[Giao Diện Frontend] Xử lý từ chối nhận thư (Unsubscribe Opt-out) tuân thủ luật an ninh mạng</t>
  </si>
  <si>
    <t>Phát triển giao diện React/Tailwind, tối ưu hóa responsive di động, xử lý trạng thái loading/error/empty state: Hỗ trợ hội viên hủy đăng ký nhận bản tin với 1-click, cập nhật danh sách chặn</t>
  </si>
  <si>
    <t>WBS-EMAIL_MKT-0629</t>
  </si>
  <si>
    <t>[Giao Diện Frontend] Tích hợp máy chủ SMTP doanh nghiệp an toàn (Amazon SES, SendGrid)</t>
  </si>
  <si>
    <t>Phát triển giao diện React/Tailwind, tối ưu hóa responsive di động, xử lý trạng thái loading/error/empty state: Cấu hình DKIM, SPF, DMARC bảo đảm tỷ lệ vào hộp thư chính Inbox 99%</t>
  </si>
  <si>
    <t>WBS-EMAIL_MKT-0630</t>
  </si>
  <si>
    <t>[Giao Diện Frontend] Báo cáo thống kê chiến dịch truyền thông đa chiều theo thời gian thực</t>
  </si>
  <si>
    <t>Phát triển giao diện React/Tailwind, tối ưu hóa responsive di động, xử lý trạng thái loading/error/empty state: Biểu đồ tỷ lệ gửi thành công, tỷ lệ mở, tỷ lệ click theo từng chiến dịch</t>
  </si>
  <si>
    <t>WBS-EMAIL_MKT-0631</t>
  </si>
  <si>
    <t>[Giao Diện Frontend] Kiểm tra lỗi hiển thị email trên nhiều ứng dụng hòm thư (Litmus Test)</t>
  </si>
  <si>
    <t>Phát triển giao diện React/Tailwind, tối ưu hóa responsive di động, xử lý trạng thái loading/error/empty state: Xem trước bản render trên Gmail, Outlook Desktop, Apple Mail, Webmail</t>
  </si>
  <si>
    <t>WBS-EMAIL_MKT-0632</t>
  </si>
  <si>
    <t>[Giao Diện Frontend] Thiết lập chiến dịch gửi email định kỳ tự động (Recurring Campaign)</t>
  </si>
  <si>
    <t>Phát triển giao diện React/Tailwind, tối ưu hóa responsive di động, xử lý trạng thái loading/error/empty state: Tự động gửi bản tin thị trường vào 8h00 sáng thứ Hai hàng tuần</t>
  </si>
  <si>
    <t>WBS-EMAIL_MKT-0633</t>
  </si>
  <si>
    <t>[Giao Diện Frontend] Thử nghiệm A/B Testing tiêu đề thư tối ưu hóa tỷ lệ mở</t>
  </si>
  <si>
    <t>Phát triển giao diện React/Tailwind, tối ưu hóa responsive di động, xử lý trạng thái loading/error/empty state: Gửi 2 tiêu đề khác nhau cho 20% danh sách, chọn tiêu đề thắng gửi cho 80%</t>
  </si>
  <si>
    <t>WBS-EMAIL_MKT-0634</t>
  </si>
  <si>
    <t>[Giao Diện Frontend] Tự động dọn dẹp địa chỉ email chết (Bounce Management)</t>
  </si>
  <si>
    <t>Phát triển giao diện React/Tailwind, tối ưu hóa responsive di động, xử lý trạng thái loading/error/empty state: Tự động đánh dấu và loại bỏ các email bị hard bounce sau 1 lần gửi</t>
  </si>
  <si>
    <t>WBS-EMAIL_MKT-0635</t>
  </si>
  <si>
    <t>[Giao Diện Frontend] Cảnh báo nội dung có nguy cơ bị bộ lọc Spam chặn (Spam Score Checker)</t>
  </si>
  <si>
    <t>Phát triển giao diện React/Tailwind, tối ưu hóa responsive di động, xử lý trạng thái loading/error/empty state: Chấm điểm từ khóa nhạy cảm trong tiêu đề và nội dung trước khi gửi</t>
  </si>
  <si>
    <t>WBS-EMAIL_MKT-0636</t>
  </si>
  <si>
    <t>[Giao Diện Frontend] Đính kèm tệp văn kiện PDF dung lượng tối đa 10MB trong email</t>
  </si>
  <si>
    <t>Phát triển giao diện React/Tailwind, tối ưu hóa responsive di động, xử lý trạng thái loading/error/empty state: Nén tệp tin và lưu trữ cloud link nếu file vượt quá dung lượng cho phép</t>
  </si>
  <si>
    <t>WBS-EMAIL_MKT-0637</t>
  </si>
  <si>
    <t>[Giao Diện Frontend] Phân quyền phê duyệt chiến dịch trước khi gửi hàng loạt</t>
  </si>
  <si>
    <t>Phát triển giao diện React/Tailwind, tối ưu hóa responsive di động, xử lý trạng thái loading/error/empty state: Nhân viên soạn thảo chiến dịch, Trưởng ban duyệt nội dung mới được gửi</t>
  </si>
  <si>
    <t>WBS-EMAIL_MKT-0638</t>
  </si>
  <si>
    <t>[Giao Diện Frontend] Xem lại nhật ký lịch sử gửi thư của từng hội viên cụ thể</t>
  </si>
  <si>
    <t>Phát triển giao diện React/Tailwind, tối ưu hóa responsive di động, xử lý trạng thái loading/error/empty state: Xem danh sách toàn bộ email hiệp hội đã gửi cho hội viên A từ trước đến nay</t>
  </si>
  <si>
    <t>WBS-EMAIL_MKT-0639</t>
  </si>
  <si>
    <t>[Giao Diện Frontend] Tạo chiến dịch email chúc mừng sinh nhật hội viên tự động mỗi ngày</t>
  </si>
  <si>
    <t>Phát triển giao diện React/Tailwind, tối ưu hóa responsive di động, xử lý trạng thái loading/error/empty state: Hệ thống quét ngày sinh nhật lúc 7h00 sáng và tự động gửi thiệp chúc mừng</t>
  </si>
  <si>
    <t>WBS-EMAIL_MKT-0640</t>
  </si>
  <si>
    <t>[Giao Diện Frontend] Xuất báo cáo tổng kết truyền thông email ra file Excel và PDF</t>
  </si>
  <si>
    <t>Phát triển giao diện React/Tailwind, tối ưu hóa responsive di động, xử lý trạng thái loading/error/empty state: Xuất bảng tổng hợp số liệu chiến dịch phục vụ báo cáo đại hội thường niên</t>
  </si>
  <si>
    <t>WBS-EMAIL_MKT-0641</t>
  </si>
  <si>
    <t>Email Marketing &amp; Truyền Thông Tự Động [Giai đoạn: Xử Lý Logic Nghiệp Vụ Backend API &amp; Cơ Sở Dữ Liệu CSDL]</t>
  </si>
  <si>
    <t>[Logic Backend CSDL] Trình soạn thảo mẫu Email trực quan WYSIWYG chuyên nghiệp</t>
  </si>
  <si>
    <t>Xây dựng NestJS Controller, Service, Prisma ORM, kiểm tra ràng buộc dữ liệu DTO và xử lý Transaction ACID: Hỗ trợ kéo thả khối văn bản, hình ảnh, nút bấm CTA, chân trang hiệp hội</t>
  </si>
  <si>
    <t>WBS-EMAIL_MKT-0642</t>
  </si>
  <si>
    <t>[Logic Backend CSDL] Thư viện thẻ trộn dữ liệu động (Merge Tags: Tên, Chức danh, Hóa đơn)</t>
  </si>
  <si>
    <t>Xây dựng NestJS Controller, Service, Prisma ORM, kiểm tra ràng buộc dữ liệu DTO và xử lý Transaction ACID: Chèn tự động `{{ho_ten}}`, `{{ten_doanh_nghiep}}`, `{{so_tien_phi}}`</t>
  </si>
  <si>
    <t>WBS-EMAIL_MKT-0643</t>
  </si>
  <si>
    <t>[Logic Backend CSDL] Kho mẫu email định dạng chuẩn: Thư mời Gala, Chúc mừng sinh nhật, Nhắc phí</t>
  </si>
  <si>
    <t>Xây dựng NestJS Controller, Service, Prisma ORM, kiểm tra ràng buộc dữ liệu DTO và xử lý Transaction ACID: Cung cấp sẵn 10 mẫu email thiết kế sang trọng chuẩn ngoại giao hiệp hội</t>
  </si>
  <si>
    <t>WBS-EMAIL_MKT-0644</t>
  </si>
  <si>
    <t>[Logic Backend CSDL] Tạo chiến dịch gửi Email Marketing theo phân nhóm đối tượng</t>
  </si>
  <si>
    <t>Xây dựng NestJS Controller, Service, Prisma ORM, kiểm tra ràng buộc dữ liệu DTO và xử lý Transaction ACID: Lọc danh sách nhận theo tiêu chí: Hội viên Kim Cương, Nợ phí, Doanh nghiệp BĐS</t>
  </si>
  <si>
    <t>WBS-EMAIL_MKT-0645</t>
  </si>
  <si>
    <t>[Logic Backend CSDL] Hàng đợi gửi Email số lượng lớn chống nghẽn và chống rơi vào Spam</t>
  </si>
  <si>
    <t>Xây dựng NestJS Controller, Service, Prisma ORM, kiểm tra ràng buộc dữ liệu DTO và xử lý Transaction ACID: Phân luồng gửi 100 email mỗi phút qua hàng đợi Redis BullMQ</t>
  </si>
  <si>
    <t>WBS-EMAIL_MKT-0646</t>
  </si>
  <si>
    <t>[Logic Backend CSDL] Theo dõi tỷ lệ mở email (Open Rate Tracking) qua tracking pixel</t>
  </si>
  <si>
    <t>Xây dựng NestJS Controller, Service, Prisma ORM, kiểm tra ràng buộc dữ liệu DTO và xử lý Transaction ACID: Nhúng ảnh trong suốt 1x1px ghi nhận chính xác thời điểm hội viên đọc thư</t>
  </si>
  <si>
    <t>WBS-EMAIL_MKT-0647</t>
  </si>
  <si>
    <t>[Logic Backend CSDL] Theo dõi tỷ lệ bấm link (Click-through Rate Tracking)</t>
  </si>
  <si>
    <t>Xây dựng NestJS Controller, Service, Prisma ORM, kiểm tra ràng buộc dữ liệu DTO và xử lý Transaction ACID: Chuyển hướng liên kết qua gateway đếm lượt click trước khi sang trang đích</t>
  </si>
  <si>
    <t>WBS-EMAIL_MKT-0648</t>
  </si>
  <si>
    <t>[Logic Backend CSDL] Xử lý từ chối nhận thư (Unsubscribe Opt-out) tuân thủ luật an ninh mạng</t>
  </si>
  <si>
    <t>Xây dựng NestJS Controller, Service, Prisma ORM, kiểm tra ràng buộc dữ liệu DTO và xử lý Transaction ACID: Hỗ trợ hội viên hủy đăng ký nhận bản tin với 1-click, cập nhật danh sách chặn</t>
  </si>
  <si>
    <t>WBS-EMAIL_MKT-0649</t>
  </si>
  <si>
    <t>[Logic Backend CSDL] Tích hợp máy chủ SMTP doanh nghiệp an toàn (Amazon SES, SendGrid)</t>
  </si>
  <si>
    <t>Xây dựng NestJS Controller, Service, Prisma ORM, kiểm tra ràng buộc dữ liệu DTO và xử lý Transaction ACID: Cấu hình DKIM, SPF, DMARC bảo đảm tỷ lệ vào hộp thư chính Inbox 99%</t>
  </si>
  <si>
    <t>WBS-EMAIL_MKT-0650</t>
  </si>
  <si>
    <t>[Logic Backend CSDL] Báo cáo thống kê chiến dịch truyền thông đa chiều theo thời gian thực</t>
  </si>
  <si>
    <t>Xây dựng NestJS Controller, Service, Prisma ORM, kiểm tra ràng buộc dữ liệu DTO và xử lý Transaction ACID: Biểu đồ tỷ lệ gửi thành công, tỷ lệ mở, tỷ lệ click theo từng chiến dịch</t>
  </si>
  <si>
    <t>WBS-EMAIL_MKT-0651</t>
  </si>
  <si>
    <t>[Logic Backend CSDL] Kiểm tra lỗi hiển thị email trên nhiều ứng dụng hòm thư (Litmus Test)</t>
  </si>
  <si>
    <t>Xây dựng NestJS Controller, Service, Prisma ORM, kiểm tra ràng buộc dữ liệu DTO và xử lý Transaction ACID: Xem trước bản render trên Gmail, Outlook Desktop, Apple Mail, Webmail</t>
  </si>
  <si>
    <t>WBS-EMAIL_MKT-0652</t>
  </si>
  <si>
    <t>[Logic Backend CSDL] Thiết lập chiến dịch gửi email định kỳ tự động (Recurring Campaign)</t>
  </si>
  <si>
    <t>Xây dựng NestJS Controller, Service, Prisma ORM, kiểm tra ràng buộc dữ liệu DTO và xử lý Transaction ACID: Tự động gửi bản tin thị trường vào 8h00 sáng thứ Hai hàng tuần</t>
  </si>
  <si>
    <t>WBS-EMAIL_MKT-0653</t>
  </si>
  <si>
    <t>[Logic Backend CSDL] Thử nghiệm A/B Testing tiêu đề thư tối ưu hóa tỷ lệ mở</t>
  </si>
  <si>
    <t>Xây dựng NestJS Controller, Service, Prisma ORM, kiểm tra ràng buộc dữ liệu DTO và xử lý Transaction ACID: Gửi 2 tiêu đề khác nhau cho 20% danh sách, chọn tiêu đề thắng gửi cho 80%</t>
  </si>
  <si>
    <t>WBS-EMAIL_MKT-0654</t>
  </si>
  <si>
    <t>[Logic Backend CSDL] Tự động dọn dẹp địa chỉ email chết (Bounce Management)</t>
  </si>
  <si>
    <t>Xây dựng NestJS Controller, Service, Prisma ORM, kiểm tra ràng buộc dữ liệu DTO và xử lý Transaction ACID: Tự động đánh dấu và loại bỏ các email bị hard bounce sau 1 lần gửi</t>
  </si>
  <si>
    <t>WBS-EMAIL_MKT-0655</t>
  </si>
  <si>
    <t>[Logic Backend CSDL] Cảnh báo nội dung có nguy cơ bị bộ lọc Spam chặn (Spam Score Checker)</t>
  </si>
  <si>
    <t>Xây dựng NestJS Controller, Service, Prisma ORM, kiểm tra ràng buộc dữ liệu DTO và xử lý Transaction ACID: Chấm điểm từ khóa nhạy cảm trong tiêu đề và nội dung trước khi gửi</t>
  </si>
  <si>
    <t>WBS-EMAIL_MKT-0656</t>
  </si>
  <si>
    <t>[Logic Backend CSDL] Đính kèm tệp văn kiện PDF dung lượng tối đa 10MB trong email</t>
  </si>
  <si>
    <t>Xây dựng NestJS Controller, Service, Prisma ORM, kiểm tra ràng buộc dữ liệu DTO và xử lý Transaction ACID: Nén tệp tin và lưu trữ cloud link nếu file vượt quá dung lượng cho phép</t>
  </si>
  <si>
    <t>WBS-EMAIL_MKT-0657</t>
  </si>
  <si>
    <t>[Logic Backend CSDL] Phân quyền phê duyệt chiến dịch trước khi gửi hàng loạt</t>
  </si>
  <si>
    <t>Xây dựng NestJS Controller, Service, Prisma ORM, kiểm tra ràng buộc dữ liệu DTO và xử lý Transaction ACID: Nhân viên soạn thảo chiến dịch, Trưởng ban duyệt nội dung mới được gửi</t>
  </si>
  <si>
    <t>WBS-EMAIL_MKT-0658</t>
  </si>
  <si>
    <t>[Logic Backend CSDL] Xem lại nhật ký lịch sử gửi thư của từng hội viên cụ thể</t>
  </si>
  <si>
    <t>Xây dựng NestJS Controller, Service, Prisma ORM, kiểm tra ràng buộc dữ liệu DTO và xử lý Transaction ACID: Xem danh sách toàn bộ email hiệp hội đã gửi cho hội viên A từ trước đến nay</t>
  </si>
  <si>
    <t>WBS-EMAIL_MKT-0659</t>
  </si>
  <si>
    <t>[Logic Backend CSDL] Tạo chiến dịch email chúc mừng sinh nhật hội viên tự động mỗi ngày</t>
  </si>
  <si>
    <t>Xây dựng NestJS Controller, Service, Prisma ORM, kiểm tra ràng buộc dữ liệu DTO và xử lý Transaction ACID: Hệ thống quét ngày sinh nhật lúc 7h00 sáng và tự động gửi thiệp chúc mừng</t>
  </si>
  <si>
    <t>WBS-EMAIL_MKT-0660</t>
  </si>
  <si>
    <t>[Logic Backend CSDL] Xuất báo cáo tổng kết truyền thông email ra file Excel và PDF</t>
  </si>
  <si>
    <t>Xây dựng NestJS Controller, Service, Prisma ORM, kiểm tra ràng buộc dữ liệu DTO và xử lý Transaction ACID: Xuất bảng tổng hợp số liệu chiến dịch phục vụ báo cáo đại hội thường niên</t>
  </si>
  <si>
    <t>WBS-EMAIL_MKT-0661</t>
  </si>
  <si>
    <t>Email Marketing &amp; Truyền Thông Tự Động [Giai đoạn: Tích Hợp Realtime, Hàng Đợi Worker &amp; Bảo Mật Granular RBAC]</t>
  </si>
  <si>
    <t>[Tích Hợp &amp; Bảo Mật] Trình soạn thảo mẫu Email trực quan WYSIWYG chuyên nghiệp</t>
  </si>
  <si>
    <t>Tích hợp phân quyền Granular RBAC, bảo vệ chống XSS/SQLi, caching Redis và cơ chế realtime/worker: Hỗ trợ kéo thả khối văn bản, hình ảnh, nút bấm CTA, chân trang hiệp hội</t>
  </si>
  <si>
    <t>WBS-EMAIL_MKT-0662</t>
  </si>
  <si>
    <t>[Tích Hợp &amp; Bảo Mật] Thư viện thẻ trộn dữ liệu động (Merge Tags: Tên, Chức danh, Hóa đơn)</t>
  </si>
  <si>
    <t>Tích hợp phân quyền Granular RBAC, bảo vệ chống XSS/SQLi, caching Redis và cơ chế realtime/worker: Chèn tự động `{{ho_ten}}`, `{{ten_doanh_nghiep}}`, `{{so_tien_phi}}`</t>
  </si>
  <si>
    <t>WBS-EMAIL_MKT-0663</t>
  </si>
  <si>
    <t>[Tích Hợp &amp; Bảo Mật] Kho mẫu email định dạng chuẩn: Thư mời Gala, Chúc mừng sinh nhật, Nhắc phí</t>
  </si>
  <si>
    <t>Tích hợp phân quyền Granular RBAC, bảo vệ chống XSS/SQLi, caching Redis và cơ chế realtime/worker: Cung cấp sẵn 10 mẫu email thiết kế sang trọng chuẩn ngoại giao hiệp hội</t>
  </si>
  <si>
    <t>WBS-EMAIL_MKT-0664</t>
  </si>
  <si>
    <t>[Tích Hợp &amp; Bảo Mật] Tạo chiến dịch gửi Email Marketing theo phân nhóm đối tượng</t>
  </si>
  <si>
    <t>Tích hợp phân quyền Granular RBAC, bảo vệ chống XSS/SQLi, caching Redis và cơ chế realtime/worker: Lọc danh sách nhận theo tiêu chí: Hội viên Kim Cương, Nợ phí, Doanh nghiệp BĐS</t>
  </si>
  <si>
    <t>WBS-EMAIL_MKT-0665</t>
  </si>
  <si>
    <t>[Tích Hợp &amp; Bảo Mật] Hàng đợi gửi Email số lượng lớn chống nghẽn và chống rơi vào Spam</t>
  </si>
  <si>
    <t>Tích hợp phân quyền Granular RBAC, bảo vệ chống XSS/SQLi, caching Redis và cơ chế realtime/worker: Phân luồng gửi 100 email mỗi phút qua hàng đợi Redis BullMQ</t>
  </si>
  <si>
    <t>WBS-EMAIL_MKT-0666</t>
  </si>
  <si>
    <t>[Tích Hợp &amp; Bảo Mật] Theo dõi tỷ lệ mở email (Open Rate Tracking) qua tracking pixel</t>
  </si>
  <si>
    <t>Tích hợp phân quyền Granular RBAC, bảo vệ chống XSS/SQLi, caching Redis và cơ chế realtime/worker: Nhúng ảnh trong suốt 1x1px ghi nhận chính xác thời điểm hội viên đọc thư</t>
  </si>
  <si>
    <t>WBS-EMAIL_MKT-0667</t>
  </si>
  <si>
    <t>[Tích Hợp &amp; Bảo Mật] Theo dõi tỷ lệ bấm link (Click-through Rate Tracking)</t>
  </si>
  <si>
    <t>Tích hợp phân quyền Granular RBAC, bảo vệ chống XSS/SQLi, caching Redis và cơ chế realtime/worker: Chuyển hướng liên kết qua gateway đếm lượt click trước khi sang trang đích</t>
  </si>
  <si>
    <t>WBS-EMAIL_MKT-0668</t>
  </si>
  <si>
    <t>[Tích Hợp &amp; Bảo Mật] Xử lý từ chối nhận thư (Unsubscribe Opt-out) tuân thủ luật an ninh mạng</t>
  </si>
  <si>
    <t>Tích hợp phân quyền Granular RBAC, bảo vệ chống XSS/SQLi, caching Redis và cơ chế realtime/worker: Hỗ trợ hội viên hủy đăng ký nhận bản tin với 1-click, cập nhật danh sách chặn</t>
  </si>
  <si>
    <t>WBS-EMAIL_MKT-0669</t>
  </si>
  <si>
    <t>[Tích Hợp &amp; Bảo Mật] Tích hợp máy chủ SMTP doanh nghiệp an toàn (Amazon SES, SendGrid)</t>
  </si>
  <si>
    <t>Tích hợp phân quyền Granular RBAC, bảo vệ chống XSS/SQLi, caching Redis và cơ chế realtime/worker: Cấu hình DKIM, SPF, DMARC bảo đảm tỷ lệ vào hộp thư chính Inbox 99%</t>
  </si>
  <si>
    <t>WBS-EMAIL_MKT-0670</t>
  </si>
  <si>
    <t>[Tích Hợp &amp; Bảo Mật] Báo cáo thống kê chiến dịch truyền thông đa chiều theo thời gian thực</t>
  </si>
  <si>
    <t>Tích hợp phân quyền Granular RBAC, bảo vệ chống XSS/SQLi, caching Redis và cơ chế realtime/worker: Biểu đồ tỷ lệ gửi thành công, tỷ lệ mở, tỷ lệ click theo từng chiến dịch</t>
  </si>
  <si>
    <t>WBS-EMAIL_MKT-0671</t>
  </si>
  <si>
    <t>[Tích Hợp &amp; Bảo Mật] Kiểm tra lỗi hiển thị email trên nhiều ứng dụng hòm thư (Litmus Test)</t>
  </si>
  <si>
    <t>Tích hợp phân quyền Granular RBAC, bảo vệ chống XSS/SQLi, caching Redis và cơ chế realtime/worker: Xem trước bản render trên Gmail, Outlook Desktop, Apple Mail, Webmail</t>
  </si>
  <si>
    <t>WBS-EMAIL_MKT-0672</t>
  </si>
  <si>
    <t>[Tích Hợp &amp; Bảo Mật] Thiết lập chiến dịch gửi email định kỳ tự động (Recurring Campaign)</t>
  </si>
  <si>
    <t>Tích hợp phân quyền Granular RBAC, bảo vệ chống XSS/SQLi, caching Redis và cơ chế realtime/worker: Tự động gửi bản tin thị trường vào 8h00 sáng thứ Hai hàng tuần</t>
  </si>
  <si>
    <t>WBS-EMAIL_MKT-0673</t>
  </si>
  <si>
    <t>[Tích Hợp &amp; Bảo Mật] Thử nghiệm A/B Testing tiêu đề thư tối ưu hóa tỷ lệ mở</t>
  </si>
  <si>
    <t>Tích hợp phân quyền Granular RBAC, bảo vệ chống XSS/SQLi, caching Redis và cơ chế realtime/worker: Gửi 2 tiêu đề khác nhau cho 20% danh sách, chọn tiêu đề thắng gửi cho 80%</t>
  </si>
  <si>
    <t>WBS-EMAIL_MKT-0674</t>
  </si>
  <si>
    <t>[Tích Hợp &amp; Bảo Mật] Tự động dọn dẹp địa chỉ email chết (Bounce Management)</t>
  </si>
  <si>
    <t>Tích hợp phân quyền Granular RBAC, bảo vệ chống XSS/SQLi, caching Redis và cơ chế realtime/worker: Tự động đánh dấu và loại bỏ các email bị hard bounce sau 1 lần gửi</t>
  </si>
  <si>
    <t>WBS-EMAIL_MKT-0675</t>
  </si>
  <si>
    <t>[Tích Hợp &amp; Bảo Mật] Cảnh báo nội dung có nguy cơ bị bộ lọc Spam chặn (Spam Score Checker)</t>
  </si>
  <si>
    <t>Tích hợp phân quyền Granular RBAC, bảo vệ chống XSS/SQLi, caching Redis và cơ chế realtime/worker: Chấm điểm từ khóa nhạy cảm trong tiêu đề và nội dung trước khi gửi</t>
  </si>
  <si>
    <t>WBS-EMAIL_MKT-0676</t>
  </si>
  <si>
    <t>[Tích Hợp &amp; Bảo Mật] Đính kèm tệp văn kiện PDF dung lượng tối đa 10MB trong email</t>
  </si>
  <si>
    <t>Tích hợp phân quyền Granular RBAC, bảo vệ chống XSS/SQLi, caching Redis và cơ chế realtime/worker: Nén tệp tin và lưu trữ cloud link nếu file vượt quá dung lượng cho phép</t>
  </si>
  <si>
    <t>WBS-EMAIL_MKT-0677</t>
  </si>
  <si>
    <t>[Tích Hợp &amp; Bảo Mật] Phân quyền phê duyệt chiến dịch trước khi gửi hàng loạt</t>
  </si>
  <si>
    <t>Tích hợp phân quyền Granular RBAC, bảo vệ chống XSS/SQLi, caching Redis và cơ chế realtime/worker: Nhân viên soạn thảo chiến dịch, Trưởng ban duyệt nội dung mới được gửi</t>
  </si>
  <si>
    <t>WBS-EMAIL_MKT-0678</t>
  </si>
  <si>
    <t>[Tích Hợp &amp; Bảo Mật] Xem lại nhật ký lịch sử gửi thư của từng hội viên cụ thể</t>
  </si>
  <si>
    <t>Tích hợp phân quyền Granular RBAC, bảo vệ chống XSS/SQLi, caching Redis và cơ chế realtime/worker: Xem danh sách toàn bộ email hiệp hội đã gửi cho hội viên A từ trước đến nay</t>
  </si>
  <si>
    <t>WBS-EMAIL_MKT-0679</t>
  </si>
  <si>
    <t>[Tích Hợp &amp; Bảo Mật] Tạo chiến dịch email chúc mừng sinh nhật hội viên tự động mỗi ngày</t>
  </si>
  <si>
    <t>Tích hợp phân quyền Granular RBAC, bảo vệ chống XSS/SQLi, caching Redis và cơ chế realtime/worker: Hệ thống quét ngày sinh nhật lúc 7h00 sáng và tự động gửi thiệp chúc mừng</t>
  </si>
  <si>
    <t>WBS-EMAIL_MKT-0680</t>
  </si>
  <si>
    <t>[Tích Hợp &amp; Bảo Mật] Xuất báo cáo tổng kết truyền thông email ra file Excel và PDF</t>
  </si>
  <si>
    <t>Tích hợp phân quyền Granular RBAC, bảo vệ chống XSS/SQLi, caching Redis và cơ chế realtime/worker: Xuất bảng tổng hợp số liệu chiến dịch phục vụ báo cáo đại hội thường niên</t>
  </si>
  <si>
    <t>WBS-EMAIL_MKT-0681</t>
  </si>
  <si>
    <t>Email Marketing &amp; Truyền Thông Tự Động [Giai đoạn: Kiểm Thử Tự Động Toàn Diện E2E, Hiệu Năng &amp; Nghiệm Thu UAT]</t>
  </si>
  <si>
    <t>[Kiểm Thử E2E &amp; UAT] Trình soạn thảo mẫu Email trực quan WYSIWYG chuyên nghiệp</t>
  </si>
  <si>
    <t>Kiểm thử hộp đen/hộp trắng toàn diện, kiểm tra tải đồng thời, đối soát dữ liệu và nghiệm thu Ban Lãnh Đạo: Hỗ trợ kéo thả khối văn bản, hình ảnh, nút bấm CTA, chân trang hiệp hội</t>
  </si>
  <si>
    <t>WBS-EMAIL_MKT-0682</t>
  </si>
  <si>
    <t>[Kiểm Thử E2E &amp; UAT] Thư viện thẻ trộn dữ liệu động (Merge Tags: Tên, Chức danh, Hóa đơn)</t>
  </si>
  <si>
    <t>Kiểm thử hộp đen/hộp trắng toàn diện, kiểm tra tải đồng thời, đối soát dữ liệu và nghiệm thu Ban Lãnh Đạo: Chèn tự động `{{ho_ten}}`, `{{ten_doanh_nghiep}}`, `{{so_tien_phi}}`</t>
  </si>
  <si>
    <t>WBS-EMAIL_MKT-0683</t>
  </si>
  <si>
    <t>[Kiểm Thử E2E &amp; UAT] Kho mẫu email định dạng chuẩn: Thư mời Gala, Chúc mừng sinh nhật, Nhắc phí</t>
  </si>
  <si>
    <t>Kiểm thử hộp đen/hộp trắng toàn diện, kiểm tra tải đồng thời, đối soát dữ liệu và nghiệm thu Ban Lãnh Đạo: Cung cấp sẵn 10 mẫu email thiết kế sang trọng chuẩn ngoại giao hiệp hội</t>
  </si>
  <si>
    <t>WBS-EMAIL_MKT-0684</t>
  </si>
  <si>
    <t>[Kiểm Thử E2E &amp; UAT] Tạo chiến dịch gửi Email Marketing theo phân nhóm đối tượng</t>
  </si>
  <si>
    <t>Kiểm thử hộp đen/hộp trắng toàn diện, kiểm tra tải đồng thời, đối soát dữ liệu và nghiệm thu Ban Lãnh Đạo: Lọc danh sách nhận theo tiêu chí: Hội viên Kim Cương, Nợ phí, Doanh nghiệp BĐS</t>
  </si>
  <si>
    <t>WBS-EMAIL_MKT-0685</t>
  </si>
  <si>
    <t>[Kiểm Thử E2E &amp; UAT] Hàng đợi gửi Email số lượng lớn chống nghẽn và chống rơi vào Spam</t>
  </si>
  <si>
    <t>Kiểm thử hộp đen/hộp trắng toàn diện, kiểm tra tải đồng thời, đối soát dữ liệu và nghiệm thu Ban Lãnh Đạo: Phân luồng gửi 100 email mỗi phút qua hàng đợi Redis BullMQ</t>
  </si>
  <si>
    <t>WBS-EMAIL_MKT-0686</t>
  </si>
  <si>
    <t>[Kiểm Thử E2E &amp; UAT] Theo dõi tỷ lệ mở email (Open Rate Tracking) qua tracking pixel</t>
  </si>
  <si>
    <t>Kiểm thử hộp đen/hộp trắng toàn diện, kiểm tra tải đồng thời, đối soát dữ liệu và nghiệm thu Ban Lãnh Đạo: Nhúng ảnh trong suốt 1x1px ghi nhận chính xác thời điểm hội viên đọc thư</t>
  </si>
  <si>
    <t>WBS-EMAIL_MKT-0687</t>
  </si>
  <si>
    <t>[Kiểm Thử E2E &amp; UAT] Theo dõi tỷ lệ bấm link (Click-through Rate Tracking)</t>
  </si>
  <si>
    <t>Kiểm thử hộp đen/hộp trắng toàn diện, kiểm tra tải đồng thời, đối soát dữ liệu và nghiệm thu Ban Lãnh Đạo: Chuyển hướng liên kết qua gateway đếm lượt click trước khi sang trang đích</t>
  </si>
  <si>
    <t>WBS-EMAIL_MKT-0688</t>
  </si>
  <si>
    <t>[Kiểm Thử E2E &amp; UAT] Xử lý từ chối nhận thư (Unsubscribe Opt-out) tuân thủ luật an ninh mạng</t>
  </si>
  <si>
    <t>Kiểm thử hộp đen/hộp trắng toàn diện, kiểm tra tải đồng thời, đối soát dữ liệu và nghiệm thu Ban Lãnh Đạo: Hỗ trợ hội viên hủy đăng ký nhận bản tin với 1-click, cập nhật danh sách chặn</t>
  </si>
  <si>
    <t>WBS-EMAIL_MKT-0689</t>
  </si>
  <si>
    <t>[Kiểm Thử E2E &amp; UAT] Tích hợp máy chủ SMTP doanh nghiệp an toàn (Amazon SES, SendGrid)</t>
  </si>
  <si>
    <t>Kiểm thử hộp đen/hộp trắng toàn diện, kiểm tra tải đồng thời, đối soát dữ liệu và nghiệm thu Ban Lãnh Đạo: Cấu hình DKIM, SPF, DMARC bảo đảm tỷ lệ vào hộp thư chính Inbox 99%</t>
  </si>
  <si>
    <t>WBS-EMAIL_MKT-0690</t>
  </si>
  <si>
    <t>[Kiểm Thử E2E &amp; UAT] Báo cáo thống kê chiến dịch truyền thông đa chiều theo thời gian thực</t>
  </si>
  <si>
    <t>Kiểm thử hộp đen/hộp trắng toàn diện, kiểm tra tải đồng thời, đối soát dữ liệu và nghiệm thu Ban Lãnh Đạo: Biểu đồ tỷ lệ gửi thành công, tỷ lệ mở, tỷ lệ click theo từng chiến dịch</t>
  </si>
  <si>
    <t>WBS-EMAIL_MKT-0691</t>
  </si>
  <si>
    <t>[Kiểm Thử E2E &amp; UAT] Kiểm tra lỗi hiển thị email trên nhiều ứng dụng hòm thư (Litmus Test)</t>
  </si>
  <si>
    <t>Kiểm thử hộp đen/hộp trắng toàn diện, kiểm tra tải đồng thời, đối soát dữ liệu và nghiệm thu Ban Lãnh Đạo: Xem trước bản render trên Gmail, Outlook Desktop, Apple Mail, Webmail</t>
  </si>
  <si>
    <t>WBS-EMAIL_MKT-0692</t>
  </si>
  <si>
    <t>[Kiểm Thử E2E &amp; UAT] Thiết lập chiến dịch gửi email định kỳ tự động (Recurring Campaign)</t>
  </si>
  <si>
    <t>Kiểm thử hộp đen/hộp trắng toàn diện, kiểm tra tải đồng thời, đối soát dữ liệu và nghiệm thu Ban Lãnh Đạo: Tự động gửi bản tin thị trường vào 8h00 sáng thứ Hai hàng tuần</t>
  </si>
  <si>
    <t>WBS-EMAIL_MKT-0693</t>
  </si>
  <si>
    <t>[Kiểm Thử E2E &amp; UAT] Thử nghiệm A/B Testing tiêu đề thư tối ưu hóa tỷ lệ mở</t>
  </si>
  <si>
    <t>Kiểm thử hộp đen/hộp trắng toàn diện, kiểm tra tải đồng thời, đối soát dữ liệu và nghiệm thu Ban Lãnh Đạo: Gửi 2 tiêu đề khác nhau cho 20% danh sách, chọn tiêu đề thắng gửi cho 80%</t>
  </si>
  <si>
    <t>WBS-EMAIL_MKT-0694</t>
  </si>
  <si>
    <t>[Kiểm Thử E2E &amp; UAT] Tự động dọn dẹp địa chỉ email chết (Bounce Management)</t>
  </si>
  <si>
    <t>Kiểm thử hộp đen/hộp trắng toàn diện, kiểm tra tải đồng thời, đối soát dữ liệu và nghiệm thu Ban Lãnh Đạo: Tự động đánh dấu và loại bỏ các email bị hard bounce sau 1 lần gửi</t>
  </si>
  <si>
    <t>WBS-EMAIL_MKT-0695</t>
  </si>
  <si>
    <t>[Kiểm Thử E2E &amp; UAT] Cảnh báo nội dung có nguy cơ bị bộ lọc Spam chặn (Spam Score Checker)</t>
  </si>
  <si>
    <t>Kiểm thử hộp đen/hộp trắng toàn diện, kiểm tra tải đồng thời, đối soát dữ liệu và nghiệm thu Ban Lãnh Đạo: Chấm điểm từ khóa nhạy cảm trong tiêu đề và nội dung trước khi gửi</t>
  </si>
  <si>
    <t>WBS-EMAIL_MKT-0696</t>
  </si>
  <si>
    <t>[Kiểm Thử E2E &amp; UAT] Đính kèm tệp văn kiện PDF dung lượng tối đa 10MB trong email</t>
  </si>
  <si>
    <t>Kiểm thử hộp đen/hộp trắng toàn diện, kiểm tra tải đồng thời, đối soát dữ liệu và nghiệm thu Ban Lãnh Đạo: Nén tệp tin và lưu trữ cloud link nếu file vượt quá dung lượng cho phép</t>
  </si>
  <si>
    <t>WBS-EMAIL_MKT-0697</t>
  </si>
  <si>
    <t>[Kiểm Thử E2E &amp; UAT] Phân quyền phê duyệt chiến dịch trước khi gửi hàng loạt</t>
  </si>
  <si>
    <t>Kiểm thử hộp đen/hộp trắng toàn diện, kiểm tra tải đồng thời, đối soát dữ liệu và nghiệm thu Ban Lãnh Đạo: Nhân viên soạn thảo chiến dịch, Trưởng ban duyệt nội dung mới được gửi</t>
  </si>
  <si>
    <t>WBS-EMAIL_MKT-0698</t>
  </si>
  <si>
    <t>[Kiểm Thử E2E &amp; UAT] Xem lại nhật ký lịch sử gửi thư của từng hội viên cụ thể</t>
  </si>
  <si>
    <t>Kiểm thử hộp đen/hộp trắng toàn diện, kiểm tra tải đồng thời, đối soát dữ liệu và nghiệm thu Ban Lãnh Đạo: Xem danh sách toàn bộ email hiệp hội đã gửi cho hội viên A từ trước đến nay</t>
  </si>
  <si>
    <t>WBS-EMAIL_MKT-0699</t>
  </si>
  <si>
    <t>[Kiểm Thử E2E &amp; UAT] Tạo chiến dịch email chúc mừng sinh nhật hội viên tự động mỗi ngày</t>
  </si>
  <si>
    <t>Kiểm thử hộp đen/hộp trắng toàn diện, kiểm tra tải đồng thời, đối soát dữ liệu và nghiệm thu Ban Lãnh Đạo: Hệ thống quét ngày sinh nhật lúc 7h00 sáng và tự động gửi thiệp chúc mừng</t>
  </si>
  <si>
    <t>WBS-EMAIL_MKT-0700</t>
  </si>
  <si>
    <t>[Kiểm Thử E2E &amp; UAT] Xuất báo cáo tổng kết truyền thông email ra file Excel và PDF</t>
  </si>
  <si>
    <t>Kiểm thử hộp đen/hộp trắng toàn diện, kiểm tra tải đồng thời, đối soát dữ liệu và nghiệm thu Ban Lãnh Đạo: Xuất bảng tổng hợp số liệu chiến dịch phục vụ báo cáo đại hội thường niên</t>
  </si>
  <si>
    <t>VIONE MASTER WBS: SÀN GIAO THƯƠNG B2B, BÁO GIÁ RFQ &amp; HỢP ĐỒNG ĐIỆN TỬ</t>
  </si>
  <si>
    <t>WBS-MARKETPLACE-0701</t>
  </si>
  <si>
    <t>Sàn Thương Mại &amp; Mua Bán B2B [Giai đoạn: Khởi Tạo, Phân Tích Nghiệp Vụ &amp; Mô Hình Dữ Liệu]</t>
  </si>
  <si>
    <t>[Kiến Trúc &amp; Schema] Đăng tải sản phẩm / dịch vụ lên sàn giao thương B2B nội bộ</t>
  </si>
  <si>
    <t>Phân tích yêu cầu nghiệp vụ, thiết kế bảng dữ liệu CSDL PostgreSQL, đặc tả API RESTful và luồng nghiệp vụ chi tiết cho: Hỗ trợ tải lên bộ sưu tập 10 ảnh nét, mô tả kỹ thuật, giấy phép kinh doanh</t>
  </si>
  <si>
    <t>/marketplace/products/create</t>
  </si>
  <si>
    <t>Doanh Nghiệp Bán</t>
  </si>
  <si>
    <t>B2B Product Model</t>
  </si>
  <si>
    <t>WBS-MARKETPLACE-0702</t>
  </si>
  <si>
    <t>[Kiến Trúc &amp; Schema] Vòng đời kiểm duyệt sản phẩm: Bản nháp -&gt; Chờ duyệt -&gt; Đang bán -&gt; Đã bán</t>
  </si>
  <si>
    <t>Phân tích yêu cầu nghiệp vụ, thiết kế bảng dữ liệu CSDL PostgreSQL, đặc tả API RESTful và luồng nghiệp vụ chi tiết cho: Ban Xúc tiến Thương mại phê duyệt tính pháp lý trước khi xuất bản công khai</t>
  </si>
  <si>
    <t>/marketplace/products/approval</t>
  </si>
  <si>
    <t>Ban Xúc Tiến</t>
  </si>
  <si>
    <t>Product Moderation Workflow</t>
  </si>
  <si>
    <t>WBS-MARKETPLACE-0703</t>
  </si>
  <si>
    <t>[Kiến Trúc &amp; Schema] Phân loại danh mục hàng hóa theo mã ngành chuẩn HS Code quốc tế</t>
  </si>
  <si>
    <t>Phân tích yêu cầu nghiệp vụ, thiết kế bảng dữ liệu CSDL PostgreSQL, đặc tả API RESTful và luồng nghiệp vụ chi tiết cho: Hệ thống cây danh mục 3 cấp: Xây dựng, Công nghệ, Y tế, Nông sản xuất khẩu</t>
  </si>
  <si>
    <t>/marketplace/categories</t>
  </si>
  <si>
    <t>Hierarchical Category Tree</t>
  </si>
  <si>
    <t>WBS-MARKETPLACE-0704</t>
  </si>
  <si>
    <t>[Kiến Trúc &amp; Schema] Đăng tải Yêu cầu báo giá mua hàng (Request for Quotation - RFQ)</t>
  </si>
  <si>
    <t>Phân tích yêu cầu nghiệp vụ, thiết kế bảng dữ liệu CSDL PostgreSQL, đặc tả API RESTful và luồng nghiệp vụ chi tiết cho: Doanh nghiệp mua đăng nhu cầu 500 tấn thép kết cấu, đặt hạn chót nhận báo giá</t>
  </si>
  <si>
    <t>/marketplace/rfq/create</t>
  </si>
  <si>
    <t>Doanh Nghiệp Mua</t>
  </si>
  <si>
    <t>RFQ Procurement System</t>
  </si>
  <si>
    <t>WBS-MARKETPLACE-0705</t>
  </si>
  <si>
    <t>[Kiến Trúc &amp; Schema] Nộp hồ sơ chào thầu báo giá cạnh tranh bí mật (Sealed Bidding)</t>
  </si>
  <si>
    <t>Phân tích yêu cầu nghiệp vụ, thiết kế bảng dữ liệu CSDL PostgreSQL, đặc tả API RESTful và luồng nghiệp vụ chi tiết cho: Nhà cung cấp gửi bảng báo giá bảo mật, mã hóa giá cho tới giờ mở thầu</t>
  </si>
  <si>
    <t>/marketplace/rfq/:id/bid</t>
  </si>
  <si>
    <t>Nhà Cung Cấp</t>
  </si>
  <si>
    <t>Sealed Bid Cryptography</t>
  </si>
  <si>
    <t>WBS-MARKETPLACE-0706</t>
  </si>
  <si>
    <t>[Kiến Trúc &amp; Schema] Bảng so sánh đối chiếu giá thầu tự động giữa các nhà cung cấp</t>
  </si>
  <si>
    <t>Phân tích yêu cầu nghiệp vụ, thiết kế bảng dữ liệu CSDL PostgreSQL, đặc tả API RESTful và luồng nghiệp vụ chi tiết cho: So sánh đơn giá, thời gian giao hàng, chứng chỉ chất lượng trên 1 màn hình</t>
  </si>
  <si>
    <t>/marketplace/rfq/:id/compare</t>
  </si>
  <si>
    <t>Procurement Comparison Matrix</t>
  </si>
  <si>
    <t>WBS-MARKETPLACE-0707</t>
  </si>
  <si>
    <t>[Kiến Trúc &amp; Schema] Giỏ yêu cầu báo giá hàng loạt (B2B Quote Cart)</t>
  </si>
  <si>
    <t>Phân tích yêu cầu nghiệp vụ, thiết kế bảng dữ liệu CSDL PostgreSQL, đặc tả API RESTful và luồng nghiệp vụ chi tiết cho: Thêm nhiều sản phẩm của các hội viên khác nhau vào giỏ để gửi yêu cầu 1 lúc</t>
  </si>
  <si>
    <t>/marketplace/cart</t>
  </si>
  <si>
    <t>B2B Quote Cart System</t>
  </si>
  <si>
    <t>WBS-MARKETPLACE-0708</t>
  </si>
  <si>
    <t>[Kiến Trúc &amp; Schema] Ký Thỏa thuận Hợp tác Nguyên tắc (MOU) trực tuyến xác thực OTP</t>
  </si>
  <si>
    <t>Phân tích yêu cầu nghiệp vụ, thiết kế bảng dữ liệu CSDL PostgreSQL, đặc tả API RESTful và luồng nghiệp vụ chi tiết cho: Hai bên thống nhất điều khoản -&gt; Nhận mã OTP SMS xác thực -&gt; Đóng dấu số</t>
  </si>
  <si>
    <t>/marketplace/contract/sign-otp</t>
  </si>
  <si>
    <t>Lãnh Đạo 2 Bên</t>
  </si>
  <si>
    <t>Digital Signature OTP</t>
  </si>
  <si>
    <t>WBS-MARKETPLACE-0709</t>
  </si>
  <si>
    <t>[Kiến Trúc &amp; Schema] Đánh giá uy tín nhà cung cấp 5 sao và viết nhận xét đối tác giao thương</t>
  </si>
  <si>
    <t>Phân tích yêu cầu nghiệp vụ, thiết kế bảng dữ liệu CSDL PostgreSQL, đặc tả API RESTful và luồng nghiệp vụ chi tiết cho: Đánh giá chất lượng hàng hóa, tiến độ giao hàng, thái độ hợp tác sau giao dịch</t>
  </si>
  <si>
    <t>/marketplace/reviews</t>
  </si>
  <si>
    <t>Verified Partner Reviews</t>
  </si>
  <si>
    <t>WBS-MARKETPLACE-0710</t>
  </si>
  <si>
    <t>[Kiến Trúc &amp; Schema] Gắn huy hiệu Nhà Cung Ứng Tiêu Biểu chứng nhận bởi Hiệp hội</t>
  </si>
  <si>
    <t>Phân tích yêu cầu nghiệp vụ, thiết kế bảng dữ liệu CSDL PostgreSQL, đặc tả API RESTful và luồng nghiệp vụ chi tiết cho: Cấp chứng chỉ điện tử cho doanh nghiệp uy tín, hiển thị huy hiệu vàng trên sàn</t>
  </si>
  <si>
    <t>/marketplace/badges</t>
  </si>
  <si>
    <t>Accreditation Badge System</t>
  </si>
  <si>
    <t>WBS-MARKETPLACE-0711</t>
  </si>
  <si>
    <t>[Kiến Trúc &amp; Schema] Tìm kiếm sản phẩm bằng hình ảnh thông minh (Visual Product Search)</t>
  </si>
  <si>
    <t>Phân tích yêu cầu nghiệp vụ, thiết kế bảng dữ liệu CSDL PostgreSQL, đặc tả API RESTful và luồng nghiệp vụ chi tiết cho: Tải ảnh mẫu chi tiết cơ khí để tìm nhà cung cấp có sản phẩm tương tự</t>
  </si>
  <si>
    <t>/marketplace/search-image</t>
  </si>
  <si>
    <t>Vector Image Embedding Search</t>
  </si>
  <si>
    <t>WBS-MARKETPLACE-0712</t>
  </si>
  <si>
    <t>[Kiến Trúc &amp; Schema] Hệ thống đàm phán giá trực tiếp 1-on-1 trong đơn hàng báo giá</t>
  </si>
  <si>
    <t>Phân tích yêu cầu nghiệp vụ, thiết kế bảng dữ liệu CSDL PostgreSQL, đặc tả API RESTful và luồng nghiệp vụ chi tiết cho: Khung chat thương thảo hợp đồng riêng gắn liền với mã báo giá cụ thể</t>
  </si>
  <si>
    <t>/marketplace/rfq/:id/negotiate</t>
  </si>
  <si>
    <t>Bên Mua &amp; Bán</t>
  </si>
  <si>
    <t>Deal Negotiation Channel</t>
  </si>
  <si>
    <t>WBS-MARKETPLACE-0713</t>
  </si>
  <si>
    <t>[Kiến Trúc &amp; Schema] Quản lý bảng giá linh hoạt theo số lượng đặt hàng (Tiered Pricing)</t>
  </si>
  <si>
    <t>Phân tích yêu cầu nghiệp vụ, thiết kế bảng dữ liệu CSDL PostgreSQL, đặc tả API RESTful và luồng nghiệp vụ chi tiết cho: Cấu hình giá: Mua 100-500 chiếc giá 50k, mua trên 1000 chiếc giá 42k</t>
  </si>
  <si>
    <t>/marketplace/products/tiers</t>
  </si>
  <si>
    <t>Tiered Pricing Structure</t>
  </si>
  <si>
    <t>WBS-MARKETPLACE-0714</t>
  </si>
  <si>
    <t>[Kiến Trúc &amp; Schema] Cảnh báo hồ sơ năng lực nhà thầu không đạt tiêu chuẩn tối thiểu</t>
  </si>
  <si>
    <t>Phân tích yêu cầu nghiệp vụ, thiết kế bảng dữ liệu CSDL PostgreSQL, đặc tả API RESTful và luồng nghiệp vụ chi tiết cho: Cảnh báo tự động nếu nhà thầu có vốn điều lệ hoặc kinh nghiệm dưới yêu cầu</t>
  </si>
  <si>
    <t>/marketplace/rfq/vetting</t>
  </si>
  <si>
    <t>Automated Vendor Vetting</t>
  </si>
  <si>
    <t>WBS-MARKETPLACE-0715</t>
  </si>
  <si>
    <t>[Kiến Trúc &amp; Schema] Tải tài liệu hồ sơ thầu định dạng ZIP dung lượng lên tới 200MB</t>
  </si>
  <si>
    <t>Phân tích yêu cầu nghiệp vụ, thiết kế bảng dữ liệu CSDL PostgreSQL, đặc tả API RESTful và luồng nghiệp vụ chi tiết cho: Hỗ trợ tải toàn bộ bản vẽ thiết kế CAD và hồ sơ năng lực nén</t>
  </si>
  <si>
    <t>/marketplace/rfq/attachments</t>
  </si>
  <si>
    <t>Multi-part S3 Upload</t>
  </si>
  <si>
    <t>WBS-MARKETPLACE-0716</t>
  </si>
  <si>
    <t>[Kiến Trúc &amp; Schema] Xuất biên bản mở thầu và phê duyệt kết quả lựa chọn nhà thầu</t>
  </si>
  <si>
    <t>Phân tích yêu cầu nghiệp vụ, thiết kế bảng dữ liệu CSDL PostgreSQL, đặc tả API RESTful và luồng nghiệp vụ chi tiết cho: Xuất file PDF có chữ ký số xác nhận của Tổ chuyên gia chấm thầu</t>
  </si>
  <si>
    <t>/marketplace/rfq/award-minutes</t>
  </si>
  <si>
    <t>Ban Đấu Thầu</t>
  </si>
  <si>
    <t>Procurement Award Minutes</t>
  </si>
  <si>
    <t>WBS-MARKETPLACE-0717</t>
  </si>
  <si>
    <t>[Kiến Trúc &amp; Schema] Lọc sản phẩm theo tiêu chí chứng nhận xanh và phát triển bền vững</t>
  </si>
  <si>
    <t>Phân tích yêu cầu nghiệp vụ, thiết kế bảng dữ liệu CSDL PostgreSQL, đặc tả API RESTful và luồng nghiệp vụ chi tiết cho: Lọc các sản phẩm đạt tiêu chuẩn ESG, ISO 14001, năng lượng tái tạo</t>
  </si>
  <si>
    <t>/marketplace/esg-filter</t>
  </si>
  <si>
    <t>ESG Accreditation Filter</t>
  </si>
  <si>
    <t>WBS-MARKETPLACE-0718</t>
  </si>
  <si>
    <t>[Kiến Trúc &amp; Schema] Quản lý kho hàng và trạng thái sẵn sàng cung ứng (Stock Status)</t>
  </si>
  <si>
    <t>Phân tích yêu cầu nghiệp vụ, thiết kế bảng dữ liệu CSDL PostgreSQL, đặc tả API RESTful và luồng nghiệp vụ chi tiết cho: Cập nhật tình trạng Còn hàng / Đặt trước 15 ngày / Tạm ngưng cung cấp</t>
  </si>
  <si>
    <t>/marketplace/inventory</t>
  </si>
  <si>
    <t>Inventory Availability</t>
  </si>
  <si>
    <t>WBS-MARKETPLACE-0719</t>
  </si>
  <si>
    <t>[Kiến Trúc &amp; Schema] Khóa tạm thời quyền bán hàng của doanh nghiệp khi có khiếu nại</t>
  </si>
  <si>
    <t>Phân tích yêu cầu nghiệp vụ, thiết kế bảng dữ liệu CSDL PostgreSQL, đặc tả API RESTful và luồng nghiệp vụ chi tiết cho: Ban Kiểm tra tạm khóa gian hàng khi có tranh chấp thương mại chưa giải quyết</t>
  </si>
  <si>
    <t>/marketplace/seller-lock</t>
  </si>
  <si>
    <t>Seller Suspension Logic</t>
  </si>
  <si>
    <t>WBS-MARKETPLACE-0720</t>
  </si>
  <si>
    <t>[Kiến Trúc &amp; Schema] Báo cáo tổng kết kim ngạch giao thương B2B toàn hiệp hội</t>
  </si>
  <si>
    <t>Phân tích yêu cầu nghiệp vụ, thiết kế bảng dữ liệu CSDL PostgreSQL, đặc tả API RESTful và luồng nghiệp vụ chi tiết cho: Biểu đồ tổng giá trị giao dịch phát sinh qua sàn theo tháng và ngành hàng</t>
  </si>
  <si>
    <t>/marketplace/reports/turnover</t>
  </si>
  <si>
    <t>Trade Turnover BI</t>
  </si>
  <si>
    <t>WBS-MARKETPLACE-0721</t>
  </si>
  <si>
    <t>Sàn Thương Mại &amp; Mua Bán B2B [Giai đoạn: Xây Dựng Giao Diện Người Dùng Frontend (Desktop &amp; Mobile)]</t>
  </si>
  <si>
    <t>[Giao Diện Frontend] Đăng tải sản phẩm / dịch vụ lên sàn giao thương B2B nội bộ</t>
  </si>
  <si>
    <t>Phát triển giao diện React/Tailwind, tối ưu hóa responsive di động, xử lý trạng thái loading/error/empty state: Hỗ trợ tải lên bộ sưu tập 10 ảnh nét, mô tả kỹ thuật, giấy phép kinh doanh</t>
  </si>
  <si>
    <t>WBS-MARKETPLACE-0722</t>
  </si>
  <si>
    <t>[Giao Diện Frontend] Vòng đời kiểm duyệt sản phẩm: Bản nháp -&gt; Chờ duyệt -&gt; Đang bán -&gt; Đã bán</t>
  </si>
  <si>
    <t>Phát triển giao diện React/Tailwind, tối ưu hóa responsive di động, xử lý trạng thái loading/error/empty state: Ban Xúc tiến Thương mại phê duyệt tính pháp lý trước khi xuất bản công khai</t>
  </si>
  <si>
    <t>WBS-MARKETPLACE-0723</t>
  </si>
  <si>
    <t>[Giao Diện Frontend] Phân loại danh mục hàng hóa theo mã ngành chuẩn HS Code quốc tế</t>
  </si>
  <si>
    <t>Phát triển giao diện React/Tailwind, tối ưu hóa responsive di động, xử lý trạng thái loading/error/empty state: Hệ thống cây danh mục 3 cấp: Xây dựng, Công nghệ, Y tế, Nông sản xuất khẩu</t>
  </si>
  <si>
    <t>WBS-MARKETPLACE-0724</t>
  </si>
  <si>
    <t>[Giao Diện Frontend] Đăng tải Yêu cầu báo giá mua hàng (Request for Quotation - RFQ)</t>
  </si>
  <si>
    <t>Phát triển giao diện React/Tailwind, tối ưu hóa responsive di động, xử lý trạng thái loading/error/empty state: Doanh nghiệp mua đăng nhu cầu 500 tấn thép kết cấu, đặt hạn chót nhận báo giá</t>
  </si>
  <si>
    <t>WBS-MARKETPLACE-0725</t>
  </si>
  <si>
    <t>[Giao Diện Frontend] Nộp hồ sơ chào thầu báo giá cạnh tranh bí mật (Sealed Bidding)</t>
  </si>
  <si>
    <t>Phát triển giao diện React/Tailwind, tối ưu hóa responsive di động, xử lý trạng thái loading/error/empty state: Nhà cung cấp gửi bảng báo giá bảo mật, mã hóa giá cho tới giờ mở thầu</t>
  </si>
  <si>
    <t>WBS-MARKETPLACE-0726</t>
  </si>
  <si>
    <t>[Giao Diện Frontend] Bảng so sánh đối chiếu giá thầu tự động giữa các nhà cung cấp</t>
  </si>
  <si>
    <t>Phát triển giao diện React/Tailwind, tối ưu hóa responsive di động, xử lý trạng thái loading/error/empty state: So sánh đơn giá, thời gian giao hàng, chứng chỉ chất lượng trên 1 màn hình</t>
  </si>
  <si>
    <t>WBS-MARKETPLACE-0727</t>
  </si>
  <si>
    <t>[Giao Diện Frontend] Giỏ yêu cầu báo giá hàng loạt (B2B Quote Cart)</t>
  </si>
  <si>
    <t>Phát triển giao diện React/Tailwind, tối ưu hóa responsive di động, xử lý trạng thái loading/error/empty state: Thêm nhiều sản phẩm của các hội viên khác nhau vào giỏ để gửi yêu cầu 1 lúc</t>
  </si>
  <si>
    <t>WBS-MARKETPLACE-0728</t>
  </si>
  <si>
    <t>[Giao Diện Frontend] Ký Thỏa thuận Hợp tác Nguyên tắc (MOU) trực tuyến xác thực OTP</t>
  </si>
  <si>
    <t>Phát triển giao diện React/Tailwind, tối ưu hóa responsive di động, xử lý trạng thái loading/error/empty state: Hai bên thống nhất điều khoản -&gt; Nhận mã OTP SMS xác thực -&gt; Đóng dấu số</t>
  </si>
  <si>
    <t>WBS-MARKETPLACE-0729</t>
  </si>
  <si>
    <t>[Giao Diện Frontend] Đánh giá uy tín nhà cung cấp 5 sao và viết nhận xét đối tác giao thương</t>
  </si>
  <si>
    <t>Phát triển giao diện React/Tailwind, tối ưu hóa responsive di động, xử lý trạng thái loading/error/empty state: Đánh giá chất lượng hàng hóa, tiến độ giao hàng, thái độ hợp tác sau giao dịch</t>
  </si>
  <si>
    <t>WBS-MARKETPLACE-0730</t>
  </si>
  <si>
    <t>[Giao Diện Frontend] Gắn huy hiệu Nhà Cung Ứng Tiêu Biểu chứng nhận bởi Hiệp hội</t>
  </si>
  <si>
    <t>Phát triển giao diện React/Tailwind, tối ưu hóa responsive di động, xử lý trạng thái loading/error/empty state: Cấp chứng chỉ điện tử cho doanh nghiệp uy tín, hiển thị huy hiệu vàng trên sàn</t>
  </si>
  <si>
    <t>WBS-MARKETPLACE-0731</t>
  </si>
  <si>
    <t>[Giao Diện Frontend] Tìm kiếm sản phẩm bằng hình ảnh thông minh (Visual Product Search)</t>
  </si>
  <si>
    <t>Phát triển giao diện React/Tailwind, tối ưu hóa responsive di động, xử lý trạng thái loading/error/empty state: Tải ảnh mẫu chi tiết cơ khí để tìm nhà cung cấp có sản phẩm tương tự</t>
  </si>
  <si>
    <t>WBS-MARKETPLACE-0732</t>
  </si>
  <si>
    <t>[Giao Diện Frontend] Hệ thống đàm phán giá trực tiếp 1-on-1 trong đơn hàng báo giá</t>
  </si>
  <si>
    <t>Phát triển giao diện React/Tailwind, tối ưu hóa responsive di động, xử lý trạng thái loading/error/empty state: Khung chat thương thảo hợp đồng riêng gắn liền với mã báo giá cụ thể</t>
  </si>
  <si>
    <t>WBS-MARKETPLACE-0733</t>
  </si>
  <si>
    <t>[Giao Diện Frontend] Quản lý bảng giá linh hoạt theo số lượng đặt hàng (Tiered Pricing)</t>
  </si>
  <si>
    <t>Phát triển giao diện React/Tailwind, tối ưu hóa responsive di động, xử lý trạng thái loading/error/empty state: Cấu hình giá: Mua 100-500 chiếc giá 50k, mua trên 1000 chiếc giá 42k</t>
  </si>
  <si>
    <t>WBS-MARKETPLACE-0734</t>
  </si>
  <si>
    <t>[Giao Diện Frontend] Cảnh báo hồ sơ năng lực nhà thầu không đạt tiêu chuẩn tối thiểu</t>
  </si>
  <si>
    <t>Phát triển giao diện React/Tailwind, tối ưu hóa responsive di động, xử lý trạng thái loading/error/empty state: Cảnh báo tự động nếu nhà thầu có vốn điều lệ hoặc kinh nghiệm dưới yêu cầu</t>
  </si>
  <si>
    <t>WBS-MARKETPLACE-0735</t>
  </si>
  <si>
    <t>[Giao Diện Frontend] Tải tài liệu hồ sơ thầu định dạng ZIP dung lượng lên tới 200MB</t>
  </si>
  <si>
    <t>Phát triển giao diện React/Tailwind, tối ưu hóa responsive di động, xử lý trạng thái loading/error/empty state: Hỗ trợ tải toàn bộ bản vẽ thiết kế CAD và hồ sơ năng lực nén</t>
  </si>
  <si>
    <t>WBS-MARKETPLACE-0736</t>
  </si>
  <si>
    <t>[Giao Diện Frontend] Xuất biên bản mở thầu và phê duyệt kết quả lựa chọn nhà thầu</t>
  </si>
  <si>
    <t>Phát triển giao diện React/Tailwind, tối ưu hóa responsive di động, xử lý trạng thái loading/error/empty state: Xuất file PDF có chữ ký số xác nhận của Tổ chuyên gia chấm thầu</t>
  </si>
  <si>
    <t>WBS-MARKETPLACE-0737</t>
  </si>
  <si>
    <t>[Giao Diện Frontend] Lọc sản phẩm theo tiêu chí chứng nhận xanh và phát triển bền vững</t>
  </si>
  <si>
    <t>Phát triển giao diện React/Tailwind, tối ưu hóa responsive di động, xử lý trạng thái loading/error/empty state: Lọc các sản phẩm đạt tiêu chuẩn ESG, ISO 14001, năng lượng tái tạo</t>
  </si>
  <si>
    <t>WBS-MARKETPLACE-0738</t>
  </si>
  <si>
    <t>[Giao Diện Frontend] Quản lý kho hàng và trạng thái sẵn sàng cung ứng (Stock Status)</t>
  </si>
  <si>
    <t>Phát triển giao diện React/Tailwind, tối ưu hóa responsive di động, xử lý trạng thái loading/error/empty state: Cập nhật tình trạng Còn hàng / Đặt trước 15 ngày / Tạm ngưng cung cấp</t>
  </si>
  <si>
    <t>WBS-MARKETPLACE-0739</t>
  </si>
  <si>
    <t>[Giao Diện Frontend] Khóa tạm thời quyền bán hàng của doanh nghiệp khi có khiếu nại</t>
  </si>
  <si>
    <t>Phát triển giao diện React/Tailwind, tối ưu hóa responsive di động, xử lý trạng thái loading/error/empty state: Ban Kiểm tra tạm khóa gian hàng khi có tranh chấp thương mại chưa giải quyết</t>
  </si>
  <si>
    <t>WBS-MARKETPLACE-0740</t>
  </si>
  <si>
    <t>[Giao Diện Frontend] Báo cáo tổng kết kim ngạch giao thương B2B toàn hiệp hội</t>
  </si>
  <si>
    <t>Phát triển giao diện React/Tailwind, tối ưu hóa responsive di động, xử lý trạng thái loading/error/empty state: Biểu đồ tổng giá trị giao dịch phát sinh qua sàn theo tháng và ngành hàng</t>
  </si>
  <si>
    <t>WBS-MARKETPLACE-0741</t>
  </si>
  <si>
    <t>Sàn Thương Mại &amp; Mua Bán B2B [Giai đoạn: Xử Lý Logic Nghiệp Vụ Backend API &amp; Cơ Sở Dữ Liệu CSDL]</t>
  </si>
  <si>
    <t>[Logic Backend CSDL] Đăng tải sản phẩm / dịch vụ lên sàn giao thương B2B nội bộ</t>
  </si>
  <si>
    <t>Xây dựng NestJS Controller, Service, Prisma ORM, kiểm tra ràng buộc dữ liệu DTO và xử lý Transaction ACID: Hỗ trợ tải lên bộ sưu tập 10 ảnh nét, mô tả kỹ thuật, giấy phép kinh doanh</t>
  </si>
  <si>
    <t>WBS-MARKETPLACE-0742</t>
  </si>
  <si>
    <t>[Logic Backend CSDL] Vòng đời kiểm duyệt sản phẩm: Bản nháp -&gt; Chờ duyệt -&gt; Đang bán -&gt; Đã bán</t>
  </si>
  <si>
    <t>Xây dựng NestJS Controller, Service, Prisma ORM, kiểm tra ràng buộc dữ liệu DTO và xử lý Transaction ACID: Ban Xúc tiến Thương mại phê duyệt tính pháp lý trước khi xuất bản công khai</t>
  </si>
  <si>
    <t>WBS-MARKETPLACE-0743</t>
  </si>
  <si>
    <t>[Logic Backend CSDL] Phân loại danh mục hàng hóa theo mã ngành chuẩn HS Code quốc tế</t>
  </si>
  <si>
    <t>Xây dựng NestJS Controller, Service, Prisma ORM, kiểm tra ràng buộc dữ liệu DTO và xử lý Transaction ACID: Hệ thống cây danh mục 3 cấp: Xây dựng, Công nghệ, Y tế, Nông sản xuất khẩu</t>
  </si>
  <si>
    <t>WBS-MARKETPLACE-0744</t>
  </si>
  <si>
    <t>[Logic Backend CSDL] Đăng tải Yêu cầu báo giá mua hàng (Request for Quotation - RFQ)</t>
  </si>
  <si>
    <t>Xây dựng NestJS Controller, Service, Prisma ORM, kiểm tra ràng buộc dữ liệu DTO và xử lý Transaction ACID: Doanh nghiệp mua đăng nhu cầu 500 tấn thép kết cấu, đặt hạn chót nhận báo giá</t>
  </si>
  <si>
    <t>WBS-MARKETPLACE-0745</t>
  </si>
  <si>
    <t>[Logic Backend CSDL] Nộp hồ sơ chào thầu báo giá cạnh tranh bí mật (Sealed Bidding)</t>
  </si>
  <si>
    <t>Xây dựng NestJS Controller, Service, Prisma ORM, kiểm tra ràng buộc dữ liệu DTO và xử lý Transaction ACID: Nhà cung cấp gửi bảng báo giá bảo mật, mã hóa giá cho tới giờ mở thầu</t>
  </si>
  <si>
    <t>WBS-MARKETPLACE-0746</t>
  </si>
  <si>
    <t>[Logic Backend CSDL] Bảng so sánh đối chiếu giá thầu tự động giữa các nhà cung cấp</t>
  </si>
  <si>
    <t>Xây dựng NestJS Controller, Service, Prisma ORM, kiểm tra ràng buộc dữ liệu DTO và xử lý Transaction ACID: So sánh đơn giá, thời gian giao hàng, chứng chỉ chất lượng trên 1 màn hình</t>
  </si>
  <si>
    <t>WBS-MARKETPLACE-0747</t>
  </si>
  <si>
    <t>[Logic Backend CSDL] Giỏ yêu cầu báo giá hàng loạt (B2B Quote Cart)</t>
  </si>
  <si>
    <t>Xây dựng NestJS Controller, Service, Prisma ORM, kiểm tra ràng buộc dữ liệu DTO và xử lý Transaction ACID: Thêm nhiều sản phẩm của các hội viên khác nhau vào giỏ để gửi yêu cầu 1 lúc</t>
  </si>
  <si>
    <t>WBS-MARKETPLACE-0748</t>
  </si>
  <si>
    <t>[Logic Backend CSDL] Ký Thỏa thuận Hợp tác Nguyên tắc (MOU) trực tuyến xác thực OTP</t>
  </si>
  <si>
    <t>Xây dựng NestJS Controller, Service, Prisma ORM, kiểm tra ràng buộc dữ liệu DTO và xử lý Transaction ACID: Hai bên thống nhất điều khoản -&gt; Nhận mã OTP SMS xác thực -&gt; Đóng dấu số</t>
  </si>
  <si>
    <t>WBS-MARKETPLACE-0749</t>
  </si>
  <si>
    <t>[Logic Backend CSDL] Đánh giá uy tín nhà cung cấp 5 sao và viết nhận xét đối tác giao thương</t>
  </si>
  <si>
    <t>Xây dựng NestJS Controller, Service, Prisma ORM, kiểm tra ràng buộc dữ liệu DTO và xử lý Transaction ACID: Đánh giá chất lượng hàng hóa, tiến độ giao hàng, thái độ hợp tác sau giao dịch</t>
  </si>
  <si>
    <t>WBS-MARKETPLACE-0750</t>
  </si>
  <si>
    <t>[Logic Backend CSDL] Gắn huy hiệu Nhà Cung Ứng Tiêu Biểu chứng nhận bởi Hiệp hội</t>
  </si>
  <si>
    <t>Xây dựng NestJS Controller, Service, Prisma ORM, kiểm tra ràng buộc dữ liệu DTO và xử lý Transaction ACID: Cấp chứng chỉ điện tử cho doanh nghiệp uy tín, hiển thị huy hiệu vàng trên sàn</t>
  </si>
  <si>
    <t>WBS-MARKETPLACE-0751</t>
  </si>
  <si>
    <t>[Logic Backend CSDL] Tìm kiếm sản phẩm bằng hình ảnh thông minh (Visual Product Search)</t>
  </si>
  <si>
    <t>Xây dựng NestJS Controller, Service, Prisma ORM, kiểm tra ràng buộc dữ liệu DTO và xử lý Transaction ACID: Tải ảnh mẫu chi tiết cơ khí để tìm nhà cung cấp có sản phẩm tương tự</t>
  </si>
  <si>
    <t>WBS-MARKETPLACE-0752</t>
  </si>
  <si>
    <t>[Logic Backend CSDL] Hệ thống đàm phán giá trực tiếp 1-on-1 trong đơn hàng báo giá</t>
  </si>
  <si>
    <t>Xây dựng NestJS Controller, Service, Prisma ORM, kiểm tra ràng buộc dữ liệu DTO và xử lý Transaction ACID: Khung chat thương thảo hợp đồng riêng gắn liền với mã báo giá cụ thể</t>
  </si>
  <si>
    <t>WBS-MARKETPLACE-0753</t>
  </si>
  <si>
    <t>[Logic Backend CSDL] Quản lý bảng giá linh hoạt theo số lượng đặt hàng (Tiered Pricing)</t>
  </si>
  <si>
    <t>Xây dựng NestJS Controller, Service, Prisma ORM, kiểm tra ràng buộc dữ liệu DTO và xử lý Transaction ACID: Cấu hình giá: Mua 100-500 chiếc giá 50k, mua trên 1000 chiếc giá 42k</t>
  </si>
  <si>
    <t>WBS-MARKETPLACE-0754</t>
  </si>
  <si>
    <t>[Logic Backend CSDL] Cảnh báo hồ sơ năng lực nhà thầu không đạt tiêu chuẩn tối thiểu</t>
  </si>
  <si>
    <t>Xây dựng NestJS Controller, Service, Prisma ORM, kiểm tra ràng buộc dữ liệu DTO và xử lý Transaction ACID: Cảnh báo tự động nếu nhà thầu có vốn điều lệ hoặc kinh nghiệm dưới yêu cầu</t>
  </si>
  <si>
    <t>WBS-MARKETPLACE-0755</t>
  </si>
  <si>
    <t>[Logic Backend CSDL] Tải tài liệu hồ sơ thầu định dạng ZIP dung lượng lên tới 200MB</t>
  </si>
  <si>
    <t>Xây dựng NestJS Controller, Service, Prisma ORM, kiểm tra ràng buộc dữ liệu DTO và xử lý Transaction ACID: Hỗ trợ tải toàn bộ bản vẽ thiết kế CAD và hồ sơ năng lực nén</t>
  </si>
  <si>
    <t>WBS-MARKETPLACE-0756</t>
  </si>
  <si>
    <t>[Logic Backend CSDL] Xuất biên bản mở thầu và phê duyệt kết quả lựa chọn nhà thầu</t>
  </si>
  <si>
    <t>Xây dựng NestJS Controller, Service, Prisma ORM, kiểm tra ràng buộc dữ liệu DTO và xử lý Transaction ACID: Xuất file PDF có chữ ký số xác nhận của Tổ chuyên gia chấm thầu</t>
  </si>
  <si>
    <t>WBS-MARKETPLACE-0757</t>
  </si>
  <si>
    <t>[Logic Backend CSDL] Lọc sản phẩm theo tiêu chí chứng nhận xanh và phát triển bền vững</t>
  </si>
  <si>
    <t>Xây dựng NestJS Controller, Service, Prisma ORM, kiểm tra ràng buộc dữ liệu DTO và xử lý Transaction ACID: Lọc các sản phẩm đạt tiêu chuẩn ESG, ISO 14001, năng lượng tái tạo</t>
  </si>
  <si>
    <t>WBS-MARKETPLACE-0758</t>
  </si>
  <si>
    <t>[Logic Backend CSDL] Quản lý kho hàng và trạng thái sẵn sàng cung ứng (Stock Status)</t>
  </si>
  <si>
    <t>Xây dựng NestJS Controller, Service, Prisma ORM, kiểm tra ràng buộc dữ liệu DTO và xử lý Transaction ACID: Cập nhật tình trạng Còn hàng / Đặt trước 15 ngày / Tạm ngưng cung cấp</t>
  </si>
  <si>
    <t>WBS-MARKETPLACE-0759</t>
  </si>
  <si>
    <t>[Logic Backend CSDL] Khóa tạm thời quyền bán hàng của doanh nghiệp khi có khiếu nại</t>
  </si>
  <si>
    <t>Xây dựng NestJS Controller, Service, Prisma ORM, kiểm tra ràng buộc dữ liệu DTO và xử lý Transaction ACID: Ban Kiểm tra tạm khóa gian hàng khi có tranh chấp thương mại chưa giải quyết</t>
  </si>
  <si>
    <t>WBS-MARKETPLACE-0760</t>
  </si>
  <si>
    <t>[Logic Backend CSDL] Báo cáo tổng kết kim ngạch giao thương B2B toàn hiệp hội</t>
  </si>
  <si>
    <t>Xây dựng NestJS Controller, Service, Prisma ORM, kiểm tra ràng buộc dữ liệu DTO và xử lý Transaction ACID: Biểu đồ tổng giá trị giao dịch phát sinh qua sàn theo tháng và ngành hàng</t>
  </si>
  <si>
    <t>WBS-MARKETPLACE-0761</t>
  </si>
  <si>
    <t>Sàn Thương Mại &amp; Mua Bán B2B [Giai đoạn: Tích Hợp Realtime, Hàng Đợi Worker &amp; Bảo Mật Granular RBAC]</t>
  </si>
  <si>
    <t>[Tích Hợp &amp; Bảo Mật] Đăng tải sản phẩm / dịch vụ lên sàn giao thương B2B nội bộ</t>
  </si>
  <si>
    <t>Tích hợp phân quyền Granular RBAC, bảo vệ chống XSS/SQLi, caching Redis và cơ chế realtime/worker: Hỗ trợ tải lên bộ sưu tập 10 ảnh nét, mô tả kỹ thuật, giấy phép kinh doanh</t>
  </si>
  <si>
    <t>WBS-MARKETPLACE-0762</t>
  </si>
  <si>
    <t>[Tích Hợp &amp; Bảo Mật] Vòng đời kiểm duyệt sản phẩm: Bản nháp -&gt; Chờ duyệt -&gt; Đang bán -&gt; Đã bán</t>
  </si>
  <si>
    <t>Tích hợp phân quyền Granular RBAC, bảo vệ chống XSS/SQLi, caching Redis và cơ chế realtime/worker: Ban Xúc tiến Thương mại phê duyệt tính pháp lý trước khi xuất bản công khai</t>
  </si>
  <si>
    <t>WBS-MARKETPLACE-0763</t>
  </si>
  <si>
    <t>[Tích Hợp &amp; Bảo Mật] Phân loại danh mục hàng hóa theo mã ngành chuẩn HS Code quốc tế</t>
  </si>
  <si>
    <t>Tích hợp phân quyền Granular RBAC, bảo vệ chống XSS/SQLi, caching Redis và cơ chế realtime/worker: Hệ thống cây danh mục 3 cấp: Xây dựng, Công nghệ, Y tế, Nông sản xuất khẩu</t>
  </si>
  <si>
    <t>WBS-MARKETPLACE-0764</t>
  </si>
  <si>
    <t>[Tích Hợp &amp; Bảo Mật] Đăng tải Yêu cầu báo giá mua hàng (Request for Quotation - RFQ)</t>
  </si>
  <si>
    <t>Tích hợp phân quyền Granular RBAC, bảo vệ chống XSS/SQLi, caching Redis và cơ chế realtime/worker: Doanh nghiệp mua đăng nhu cầu 500 tấn thép kết cấu, đặt hạn chót nhận báo giá</t>
  </si>
  <si>
    <t>WBS-MARKETPLACE-0765</t>
  </si>
  <si>
    <t>[Tích Hợp &amp; Bảo Mật] Nộp hồ sơ chào thầu báo giá cạnh tranh bí mật (Sealed Bidding)</t>
  </si>
  <si>
    <t>Tích hợp phân quyền Granular RBAC, bảo vệ chống XSS/SQLi, caching Redis và cơ chế realtime/worker: Nhà cung cấp gửi bảng báo giá bảo mật, mã hóa giá cho tới giờ mở thầu</t>
  </si>
  <si>
    <t>WBS-MARKETPLACE-0766</t>
  </si>
  <si>
    <t>[Tích Hợp &amp; Bảo Mật] Bảng so sánh đối chiếu giá thầu tự động giữa các nhà cung cấp</t>
  </si>
  <si>
    <t>Tích hợp phân quyền Granular RBAC, bảo vệ chống XSS/SQLi, caching Redis và cơ chế realtime/worker: So sánh đơn giá, thời gian giao hàng, chứng chỉ chất lượng trên 1 màn hình</t>
  </si>
  <si>
    <t>WBS-MARKETPLACE-0767</t>
  </si>
  <si>
    <t>[Tích Hợp &amp; Bảo Mật] Giỏ yêu cầu báo giá hàng loạt (B2B Quote Cart)</t>
  </si>
  <si>
    <t>Tích hợp phân quyền Granular RBAC, bảo vệ chống XSS/SQLi, caching Redis và cơ chế realtime/worker: Thêm nhiều sản phẩm của các hội viên khác nhau vào giỏ để gửi yêu cầu 1 lúc</t>
  </si>
  <si>
    <t>WBS-MARKETPLACE-0768</t>
  </si>
  <si>
    <t>[Tích Hợp &amp; Bảo Mật] Ký Thỏa thuận Hợp tác Nguyên tắc (MOU) trực tuyến xác thực OTP</t>
  </si>
  <si>
    <t>Tích hợp phân quyền Granular RBAC, bảo vệ chống XSS/SQLi, caching Redis và cơ chế realtime/worker: Hai bên thống nhất điều khoản -&gt; Nhận mã OTP SMS xác thực -&gt; Đóng dấu số</t>
  </si>
  <si>
    <t>WBS-MARKETPLACE-0769</t>
  </si>
  <si>
    <t>[Tích Hợp &amp; Bảo Mật] Đánh giá uy tín nhà cung cấp 5 sao và viết nhận xét đối tác giao thương</t>
  </si>
  <si>
    <t>Tích hợp phân quyền Granular RBAC, bảo vệ chống XSS/SQLi, caching Redis và cơ chế realtime/worker: Đánh giá chất lượng hàng hóa, tiến độ giao hàng, thái độ hợp tác sau giao dịch</t>
  </si>
  <si>
    <t>WBS-MARKETPLACE-0770</t>
  </si>
  <si>
    <t>[Tích Hợp &amp; Bảo Mật] Gắn huy hiệu Nhà Cung Ứng Tiêu Biểu chứng nhận bởi Hiệp hội</t>
  </si>
  <si>
    <t>Tích hợp phân quyền Granular RBAC, bảo vệ chống XSS/SQLi, caching Redis và cơ chế realtime/worker: Cấp chứng chỉ điện tử cho doanh nghiệp uy tín, hiển thị huy hiệu vàng trên sàn</t>
  </si>
  <si>
    <t>WBS-MARKETPLACE-0771</t>
  </si>
  <si>
    <t>[Tích Hợp &amp; Bảo Mật] Tìm kiếm sản phẩm bằng hình ảnh thông minh (Visual Product Search)</t>
  </si>
  <si>
    <t>Tích hợp phân quyền Granular RBAC, bảo vệ chống XSS/SQLi, caching Redis và cơ chế realtime/worker: Tải ảnh mẫu chi tiết cơ khí để tìm nhà cung cấp có sản phẩm tương tự</t>
  </si>
  <si>
    <t>WBS-MARKETPLACE-0772</t>
  </si>
  <si>
    <t>[Tích Hợp &amp; Bảo Mật] Hệ thống đàm phán giá trực tiếp 1-on-1 trong đơn hàng báo giá</t>
  </si>
  <si>
    <t>Tích hợp phân quyền Granular RBAC, bảo vệ chống XSS/SQLi, caching Redis và cơ chế realtime/worker: Khung chat thương thảo hợp đồng riêng gắn liền với mã báo giá cụ thể</t>
  </si>
  <si>
    <t>WBS-MARKETPLACE-0773</t>
  </si>
  <si>
    <t>[Tích Hợp &amp; Bảo Mật] Quản lý bảng giá linh hoạt theo số lượng đặt hàng (Tiered Pricing)</t>
  </si>
  <si>
    <t>Tích hợp phân quyền Granular RBAC, bảo vệ chống XSS/SQLi, caching Redis và cơ chế realtime/worker: Cấu hình giá: Mua 100-500 chiếc giá 50k, mua trên 1000 chiếc giá 42k</t>
  </si>
  <si>
    <t>WBS-MARKETPLACE-0774</t>
  </si>
  <si>
    <t>[Tích Hợp &amp; Bảo Mật] Cảnh báo hồ sơ năng lực nhà thầu không đạt tiêu chuẩn tối thiểu</t>
  </si>
  <si>
    <t>Tích hợp phân quyền Granular RBAC, bảo vệ chống XSS/SQLi, caching Redis và cơ chế realtime/worker: Cảnh báo tự động nếu nhà thầu có vốn điều lệ hoặc kinh nghiệm dưới yêu cầu</t>
  </si>
  <si>
    <t>WBS-MARKETPLACE-0775</t>
  </si>
  <si>
    <t>[Tích Hợp &amp; Bảo Mật] Tải tài liệu hồ sơ thầu định dạng ZIP dung lượng lên tới 200MB</t>
  </si>
  <si>
    <t>Tích hợp phân quyền Granular RBAC, bảo vệ chống XSS/SQLi, caching Redis và cơ chế realtime/worker: Hỗ trợ tải toàn bộ bản vẽ thiết kế CAD và hồ sơ năng lực nén</t>
  </si>
  <si>
    <t>WBS-MARKETPLACE-0776</t>
  </si>
  <si>
    <t>[Tích Hợp &amp; Bảo Mật] Xuất biên bản mở thầu và phê duyệt kết quả lựa chọn nhà thầu</t>
  </si>
  <si>
    <t>Tích hợp phân quyền Granular RBAC, bảo vệ chống XSS/SQLi, caching Redis và cơ chế realtime/worker: Xuất file PDF có chữ ký số xác nhận của Tổ chuyên gia chấm thầu</t>
  </si>
  <si>
    <t>WBS-MARKETPLACE-0777</t>
  </si>
  <si>
    <t>[Tích Hợp &amp; Bảo Mật] Lọc sản phẩm theo tiêu chí chứng nhận xanh và phát triển bền vững</t>
  </si>
  <si>
    <t>Tích hợp phân quyền Granular RBAC, bảo vệ chống XSS/SQLi, caching Redis và cơ chế realtime/worker: Lọc các sản phẩm đạt tiêu chuẩn ESG, ISO 14001, năng lượng tái tạo</t>
  </si>
  <si>
    <t>WBS-MARKETPLACE-0778</t>
  </si>
  <si>
    <t>[Tích Hợp &amp; Bảo Mật] Quản lý kho hàng và trạng thái sẵn sàng cung ứng (Stock Status)</t>
  </si>
  <si>
    <t>Tích hợp phân quyền Granular RBAC, bảo vệ chống XSS/SQLi, caching Redis và cơ chế realtime/worker: Cập nhật tình trạng Còn hàng / Đặt trước 15 ngày / Tạm ngưng cung cấp</t>
  </si>
  <si>
    <t>WBS-MARKETPLACE-0779</t>
  </si>
  <si>
    <t>[Tích Hợp &amp; Bảo Mật] Khóa tạm thời quyền bán hàng của doanh nghiệp khi có khiếu nại</t>
  </si>
  <si>
    <t>Tích hợp phân quyền Granular RBAC, bảo vệ chống XSS/SQLi, caching Redis và cơ chế realtime/worker: Ban Kiểm tra tạm khóa gian hàng khi có tranh chấp thương mại chưa giải quyết</t>
  </si>
  <si>
    <t>WBS-MARKETPLACE-0780</t>
  </si>
  <si>
    <t>[Tích Hợp &amp; Bảo Mật] Báo cáo tổng kết kim ngạch giao thương B2B toàn hiệp hội</t>
  </si>
  <si>
    <t>Tích hợp phân quyền Granular RBAC, bảo vệ chống XSS/SQLi, caching Redis và cơ chế realtime/worker: Biểu đồ tổng giá trị giao dịch phát sinh qua sàn theo tháng và ngành hàng</t>
  </si>
  <si>
    <t>WBS-MARKETPLACE-0781</t>
  </si>
  <si>
    <t>Sàn Thương Mại &amp; Mua Bán B2B [Giai đoạn: Kiểm Thử Tự Động Toàn Diện E2E, Hiệu Năng &amp; Nghiệm Thu UAT]</t>
  </si>
  <si>
    <t>[Kiểm Thử E2E &amp; UAT] Đăng tải sản phẩm / dịch vụ lên sàn giao thương B2B nội bộ</t>
  </si>
  <si>
    <t>Kiểm thử hộp đen/hộp trắng toàn diện, kiểm tra tải đồng thời, đối soát dữ liệu và nghiệm thu Ban Lãnh Đạo: Hỗ trợ tải lên bộ sưu tập 10 ảnh nét, mô tả kỹ thuật, giấy phép kinh doanh</t>
  </si>
  <si>
    <t>WBS-MARKETPLACE-0782</t>
  </si>
  <si>
    <t>[Kiểm Thử E2E &amp; UAT] Vòng đời kiểm duyệt sản phẩm: Bản nháp -&gt; Chờ duyệt -&gt; Đang bán -&gt; Đã bán</t>
  </si>
  <si>
    <t>Kiểm thử hộp đen/hộp trắng toàn diện, kiểm tra tải đồng thời, đối soát dữ liệu và nghiệm thu Ban Lãnh Đạo: Ban Xúc tiến Thương mại phê duyệt tính pháp lý trước khi xuất bản công khai</t>
  </si>
  <si>
    <t>WBS-MARKETPLACE-0783</t>
  </si>
  <si>
    <t>[Kiểm Thử E2E &amp; UAT] Phân loại danh mục hàng hóa theo mã ngành chuẩn HS Code quốc tế</t>
  </si>
  <si>
    <t>Kiểm thử hộp đen/hộp trắng toàn diện, kiểm tra tải đồng thời, đối soát dữ liệu và nghiệm thu Ban Lãnh Đạo: Hệ thống cây danh mục 3 cấp: Xây dựng, Công nghệ, Y tế, Nông sản xuất khẩu</t>
  </si>
  <si>
    <t>WBS-MARKETPLACE-0784</t>
  </si>
  <si>
    <t>[Kiểm Thử E2E &amp; UAT] Đăng tải Yêu cầu báo giá mua hàng (Request for Quotation - RFQ)</t>
  </si>
  <si>
    <t>Kiểm thử hộp đen/hộp trắng toàn diện, kiểm tra tải đồng thời, đối soát dữ liệu và nghiệm thu Ban Lãnh Đạo: Doanh nghiệp mua đăng nhu cầu 500 tấn thép kết cấu, đặt hạn chót nhận báo giá</t>
  </si>
  <si>
    <t>WBS-MARKETPLACE-0785</t>
  </si>
  <si>
    <t>[Kiểm Thử E2E &amp; UAT] Nộp hồ sơ chào thầu báo giá cạnh tranh bí mật (Sealed Bidding)</t>
  </si>
  <si>
    <t>Kiểm thử hộp đen/hộp trắng toàn diện, kiểm tra tải đồng thời, đối soát dữ liệu và nghiệm thu Ban Lãnh Đạo: Nhà cung cấp gửi bảng báo giá bảo mật, mã hóa giá cho tới giờ mở thầu</t>
  </si>
  <si>
    <t>WBS-MARKETPLACE-0786</t>
  </si>
  <si>
    <t>[Kiểm Thử E2E &amp; UAT] Bảng so sánh đối chiếu giá thầu tự động giữa các nhà cung cấp</t>
  </si>
  <si>
    <t>Kiểm thử hộp đen/hộp trắng toàn diện, kiểm tra tải đồng thời, đối soát dữ liệu và nghiệm thu Ban Lãnh Đạo: So sánh đơn giá, thời gian giao hàng, chứng chỉ chất lượng trên 1 màn hình</t>
  </si>
  <si>
    <t>WBS-MARKETPLACE-0787</t>
  </si>
  <si>
    <t>[Kiểm Thử E2E &amp; UAT] Giỏ yêu cầu báo giá hàng loạt (B2B Quote Cart)</t>
  </si>
  <si>
    <t>Kiểm thử hộp đen/hộp trắng toàn diện, kiểm tra tải đồng thời, đối soát dữ liệu và nghiệm thu Ban Lãnh Đạo: Thêm nhiều sản phẩm của các hội viên khác nhau vào giỏ để gửi yêu cầu 1 lúc</t>
  </si>
  <si>
    <t>WBS-MARKETPLACE-0788</t>
  </si>
  <si>
    <t>[Kiểm Thử E2E &amp; UAT] Ký Thỏa thuận Hợp tác Nguyên tắc (MOU) trực tuyến xác thực OTP</t>
  </si>
  <si>
    <t>Kiểm thử hộp đen/hộp trắng toàn diện, kiểm tra tải đồng thời, đối soát dữ liệu và nghiệm thu Ban Lãnh Đạo: Hai bên thống nhất điều khoản -&gt; Nhận mã OTP SMS xác thực -&gt; Đóng dấu số</t>
  </si>
  <si>
    <t>WBS-MARKETPLACE-0789</t>
  </si>
  <si>
    <t>[Kiểm Thử E2E &amp; UAT] Đánh giá uy tín nhà cung cấp 5 sao và viết nhận xét đối tác giao thương</t>
  </si>
  <si>
    <t>Kiểm thử hộp đen/hộp trắng toàn diện, kiểm tra tải đồng thời, đối soát dữ liệu và nghiệm thu Ban Lãnh Đạo: Đánh giá chất lượng hàng hóa, tiến độ giao hàng, thái độ hợp tác sau giao dịch</t>
  </si>
  <si>
    <t>WBS-MARKETPLACE-0790</t>
  </si>
  <si>
    <t>[Kiểm Thử E2E &amp; UAT] Gắn huy hiệu Nhà Cung Ứng Tiêu Biểu chứng nhận bởi Hiệp hội</t>
  </si>
  <si>
    <t>Kiểm thử hộp đen/hộp trắng toàn diện, kiểm tra tải đồng thời, đối soát dữ liệu và nghiệm thu Ban Lãnh Đạo: Cấp chứng chỉ điện tử cho doanh nghiệp uy tín, hiển thị huy hiệu vàng trên sàn</t>
  </si>
  <si>
    <t>WBS-MARKETPLACE-0791</t>
  </si>
  <si>
    <t>[Kiểm Thử E2E &amp; UAT] Tìm kiếm sản phẩm bằng hình ảnh thông minh (Visual Product Search)</t>
  </si>
  <si>
    <t>Kiểm thử hộp đen/hộp trắng toàn diện, kiểm tra tải đồng thời, đối soát dữ liệu và nghiệm thu Ban Lãnh Đạo: Tải ảnh mẫu chi tiết cơ khí để tìm nhà cung cấp có sản phẩm tương tự</t>
  </si>
  <si>
    <t>WBS-MARKETPLACE-0792</t>
  </si>
  <si>
    <t>[Kiểm Thử E2E &amp; UAT] Hệ thống đàm phán giá trực tiếp 1-on-1 trong đơn hàng báo giá</t>
  </si>
  <si>
    <t>Kiểm thử hộp đen/hộp trắng toàn diện, kiểm tra tải đồng thời, đối soát dữ liệu và nghiệm thu Ban Lãnh Đạo: Khung chat thương thảo hợp đồng riêng gắn liền với mã báo giá cụ thể</t>
  </si>
  <si>
    <t>WBS-MARKETPLACE-0793</t>
  </si>
  <si>
    <t>[Kiểm Thử E2E &amp; UAT] Quản lý bảng giá linh hoạt theo số lượng đặt hàng (Tiered Pricing)</t>
  </si>
  <si>
    <t>Kiểm thử hộp đen/hộp trắng toàn diện, kiểm tra tải đồng thời, đối soát dữ liệu và nghiệm thu Ban Lãnh Đạo: Cấu hình giá: Mua 100-500 chiếc giá 50k, mua trên 1000 chiếc giá 42k</t>
  </si>
  <si>
    <t>WBS-MARKETPLACE-0794</t>
  </si>
  <si>
    <t>[Kiểm Thử E2E &amp; UAT] Cảnh báo hồ sơ năng lực nhà thầu không đạt tiêu chuẩn tối thiểu</t>
  </si>
  <si>
    <t>Kiểm thử hộp đen/hộp trắng toàn diện, kiểm tra tải đồng thời, đối soát dữ liệu và nghiệm thu Ban Lãnh Đạo: Cảnh báo tự động nếu nhà thầu có vốn điều lệ hoặc kinh nghiệm dưới yêu cầu</t>
  </si>
  <si>
    <t>WBS-MARKETPLACE-0795</t>
  </si>
  <si>
    <t>[Kiểm Thử E2E &amp; UAT] Tải tài liệu hồ sơ thầu định dạng ZIP dung lượng lên tới 200MB</t>
  </si>
  <si>
    <t>Kiểm thử hộp đen/hộp trắng toàn diện, kiểm tra tải đồng thời, đối soát dữ liệu và nghiệm thu Ban Lãnh Đạo: Hỗ trợ tải toàn bộ bản vẽ thiết kế CAD và hồ sơ năng lực nén</t>
  </si>
  <si>
    <t>WBS-MARKETPLACE-0796</t>
  </si>
  <si>
    <t>[Kiểm Thử E2E &amp; UAT] Xuất biên bản mở thầu và phê duyệt kết quả lựa chọn nhà thầu</t>
  </si>
  <si>
    <t>Kiểm thử hộp đen/hộp trắng toàn diện, kiểm tra tải đồng thời, đối soát dữ liệu và nghiệm thu Ban Lãnh Đạo: Xuất file PDF có chữ ký số xác nhận của Tổ chuyên gia chấm thầu</t>
  </si>
  <si>
    <t>WBS-MARKETPLACE-0797</t>
  </si>
  <si>
    <t>[Kiểm Thử E2E &amp; UAT] Lọc sản phẩm theo tiêu chí chứng nhận xanh và phát triển bền vững</t>
  </si>
  <si>
    <t>Kiểm thử hộp đen/hộp trắng toàn diện, kiểm tra tải đồng thời, đối soát dữ liệu và nghiệm thu Ban Lãnh Đạo: Lọc các sản phẩm đạt tiêu chuẩn ESG, ISO 14001, năng lượng tái tạo</t>
  </si>
  <si>
    <t>WBS-MARKETPLACE-0798</t>
  </si>
  <si>
    <t>[Kiểm Thử E2E &amp; UAT] Quản lý kho hàng và trạng thái sẵn sàng cung ứng (Stock Status)</t>
  </si>
  <si>
    <t>Kiểm thử hộp đen/hộp trắng toàn diện, kiểm tra tải đồng thời, đối soát dữ liệu và nghiệm thu Ban Lãnh Đạo: Cập nhật tình trạng Còn hàng / Đặt trước 15 ngày / Tạm ngưng cung cấp</t>
  </si>
  <si>
    <t>WBS-MARKETPLACE-0799</t>
  </si>
  <si>
    <t>[Kiểm Thử E2E &amp; UAT] Khóa tạm thời quyền bán hàng của doanh nghiệp khi có khiếu nại</t>
  </si>
  <si>
    <t>Kiểm thử hộp đen/hộp trắng toàn diện, kiểm tra tải đồng thời, đối soát dữ liệu và nghiệm thu Ban Lãnh Đạo: Ban Kiểm tra tạm khóa gian hàng khi có tranh chấp thương mại chưa giải quyết</t>
  </si>
  <si>
    <t>WBS-MARKETPLACE-0800</t>
  </si>
  <si>
    <t>[Kiểm Thử E2E &amp; UAT] Báo cáo tổng kết kim ngạch giao thương B2B toàn hiệp hội</t>
  </si>
  <si>
    <t>Kiểm thử hộp đen/hộp trắng toàn diện, kiểm tra tải đồng thời, đối soát dữ liệu và nghiệm thu Ban Lãnh Đạo: Biểu đồ tổng giá trị giao dịch phát sinh qua sàn theo tháng và ngành hàng</t>
  </si>
  <si>
    <t>VIONE MASTER WBS: TÀI CHÍNH, HÓA ĐƠN VAT ĐIỆN TỬ &amp; XỬ LÝ EXCEL HÀNG LOẠT</t>
  </si>
  <si>
    <t>WBS-FINANCE_VAT-0801</t>
  </si>
  <si>
    <t>Tài Chính, Kế Toán &amp; Xử Lý Dữ Liệu Excel [Giai đoạn: Khởi Tạo, Phân Tích Nghiệp Vụ &amp; Mô Hình Dữ Liệu]</t>
  </si>
  <si>
    <t>[Kiến Trúc &amp; Schema] Phát hành Hóa Đơn Giá Trị Gia Tăng Điện Tử (E-Invoice VAT)</t>
  </si>
  <si>
    <t>Phân tích yêu cầu nghiệp vụ, thiết kế bảng dữ liệu CSDL PostgreSQL, đặc tả API RESTful và luồng nghiệp vụ chi tiết cho: Tích hợp cổng VNPT/Viettel Invoice sinh hóa đơn đỏ gửi tự động cho doanh nghiệp</t>
  </si>
  <si>
    <t>/finance/e-invoice</t>
  </si>
  <si>
    <t>Kế Toán Thuế</t>
  </si>
  <si>
    <t>Thông tư 78/BTC E-Invoice</t>
  </si>
  <si>
    <t>WBS-FINANCE_VAT-0802</t>
  </si>
  <si>
    <t>[Kiến Trúc &amp; Schema] Tạo hóa đơn niên liễm điện tử kèm mã VietQR Napas 24/7 động</t>
  </si>
  <si>
    <t>Phân tích yêu cầu nghiệp vụ, thiết kế bảng dữ liệu CSDL PostgreSQL, đặc tả API RESTful và luồng nghiệp vụ chi tiết cho: Sinh mã VietQR chuẩn EMVCo chứa mã hóa đơn và số tiền, chống sửa đổi nội dung</t>
  </si>
  <si>
    <t>/fees/:id/vietqr</t>
  </si>
  <si>
    <t>Ban Tài Chính</t>
  </si>
  <si>
    <t>VietQR EMVCo Standard</t>
  </si>
  <si>
    <t>WBS-FINANCE_VAT-0803</t>
  </si>
  <si>
    <t>[Kiến Trúc &amp; Schema] Xử lý Webhook biến động số dư ngân hàng tự động gạch nợ trong 1s</t>
  </si>
  <si>
    <t>Phân tích yêu cầu nghiệp vụ, thiết kế bảng dữ liệu CSDL PostgreSQL, đặc tả API RESTful và luồng nghiệp vụ chi tiết cho: Ngân hàng gọi webhook -&gt; Xác thực chữ ký số HMAC-SHA256 -&gt; Gạch nợ tức thì</t>
  </si>
  <si>
    <t>/api/webhooks/bank-transfer</t>
  </si>
  <si>
    <t>HMAC-SHA256 Webhook Auth</t>
  </si>
  <si>
    <t>WBS-FINANCE_VAT-0804</t>
  </si>
  <si>
    <t>[Kiến Trúc &amp; Schema] Xử lý chuyển khoản thiếu tiền (under-payment) ghi nhận nợ treo</t>
  </si>
  <si>
    <t>Phân tích yêu cầu nghiệp vụ, thiết kế bảng dữ liệu CSDL PostgreSQL, đặc tả API RESTful và luồng nghiệp vụ chi tiết cho: Chuyển sang trạng thái partially_paid, tự động tính phần dư nợ và sinh QR bổ sung</t>
  </si>
  <si>
    <t>/fees/:id/partial</t>
  </si>
  <si>
    <t>Partial Payment Reconciliation</t>
  </si>
  <si>
    <t>WBS-FINANCE_VAT-0805</t>
  </si>
  <si>
    <t>[Kiến Trúc &amp; Schema] Xử lý chuyển khoản thừa tiền (over-payment) ký quỹ niên độ sau</t>
  </si>
  <si>
    <t>Phân tích yêu cầu nghiệp vụ, thiết kế bảng dữ liệu CSDL PostgreSQL, đặc tả API RESTful và luồng nghiệp vụ chi tiết cho: Gạch nợ hóa đơn, cộng tiền thừa vào số dư ký quỹ escrow_balance của hội viên</t>
  </si>
  <si>
    <t>/fees/:id/overpaid</t>
  </si>
  <si>
    <t>Escrow Ledger Balancing</t>
  </si>
  <si>
    <t>WBS-FINANCE_VAT-0806</t>
  </si>
  <si>
    <t>[Kiến Trúc &amp; Schema] Quy trình hoàn tiền (Refund Workflow) khi hủy vé sự kiện hợp lệ</t>
  </si>
  <si>
    <t>Phân tích yêu cầu nghiệp vụ, thiết kế bảng dữ liệu CSDL PostgreSQL, đặc tả API RESTful và luồng nghiệp vụ chi tiết cho: Lập phiếu đề xuất hoàn chi -&gt; Thẩm định -&gt; Duyệt lệnh hoàn tiền qua ngân hàng</t>
  </si>
  <si>
    <t>/finance/refunds</t>
  </si>
  <si>
    <t>Kế Toán Trưởng</t>
  </si>
  <si>
    <t>Multi-step Refund Approval</t>
  </si>
  <si>
    <t>WBS-FINANCE_VAT-0807</t>
  </si>
  <si>
    <t>[Kiến Trúc &amp; Schema] Đối soát tự động sao kê ngân hàng hàng tháng (Bank Reconciliation)</t>
  </si>
  <si>
    <t>Phân tích yêu cầu nghiệp vụ, thiết kế bảng dữ liệu CSDL PostgreSQL, đặc tả API RESTful và luồng nghiệp vụ chi tiết cho: Nạp file sao kê Vietcombank/MBBank (.xlsx/CSV) đối chiếu các giao dịch hệ thống</t>
  </si>
  <si>
    <t>/finance/reconciliation</t>
  </si>
  <si>
    <t>Automated Reconciliation Match</t>
  </si>
  <si>
    <t>WBS-FINANCE_VAT-0808</t>
  </si>
  <si>
    <t>[Kiến Trúc &amp; Schema] Quản lý 4 quỹ tài chính độc lập (Niên liễm, Xúc tiến, Từ thiện, Golf)</t>
  </si>
  <si>
    <t>Phân tích yêu cầu nghiệp vụ, thiết kế bảng dữ liệu CSDL PostgreSQL, đặc tả API RESTful và luồng nghiệp vụ chi tiết cho: Hạch toán thu chi riêng biệt từng quỹ, cảnh báo khi chi tiêu vượt định mức</t>
  </si>
  <si>
    <t>/finance/multi-fund</t>
  </si>
  <si>
    <t>Multi-fund Budget Ledger</t>
  </si>
  <si>
    <t>WBS-FINANCE_VAT-0809</t>
  </si>
  <si>
    <t>[Kiến Trúc &amp; Schema] Nhập danh sách dữ liệu hàng loạt từ file Excel (Bulk Import Engine)</t>
  </si>
  <si>
    <t>Phân tích yêu cầu nghiệp vụ, thiết kế bảng dữ liệu CSDL PostgreSQL, đặc tả API RESTful và luồng nghiệp vụ chi tiết cho: Kiểm tra tính hợp lệ dữ liệu, bắt lỗi định dạng ngày tháng, nạp 1000 dòng 1 lúc</t>
  </si>
  <si>
    <t>/admin/import-excel</t>
  </si>
  <si>
    <t>Kỹ Sư Dữ Liệu</t>
  </si>
  <si>
    <t>ExcelJS Chunked Batch Import</t>
  </si>
  <si>
    <t>WBS-FINANCE_VAT-0810</t>
  </si>
  <si>
    <t>[Kiến Trúc &amp; Schema] Xuất danh sách dữ liệu ra file Excel định dạng chuẩn (Formatted Export)</t>
  </si>
  <si>
    <t>Phân tích yêu cầu nghiệp vụ, thiết kế bảng dữ liệu CSDL PostgreSQL, đặc tả API RESTful và luồng nghiệp vụ chi tiết cho: Xuất file Excel có đầy đủ màu sắc, AutoFilter, định dạng tiền tệ và Freeze panes</t>
  </si>
  <si>
    <t>/admin/export-excel</t>
  </si>
  <si>
    <t>ExcelJS Formatted Export</t>
  </si>
  <si>
    <t>WBS-FINANCE_VAT-0811</t>
  </si>
  <si>
    <t>[Kiến Trúc &amp; Schema] Phê duyệt chi ngân sách hiệp hội theo quy trình 3 cấp thẩm quyền</t>
  </si>
  <si>
    <t>Phân tích yêu cầu nghiệp vụ, thiết kế bảng dữ liệu CSDL PostgreSQL, đặc tả API RESTful và luồng nghiệp vụ chi tiết cho: Trưởng ban đề xuất chi -&gt; Kế toán trưởng thẩm định -&gt; Chủ tịch ký duyệt</t>
  </si>
  <si>
    <t>/finance/payment-orders</t>
  </si>
  <si>
    <t>Multi-level Expenditure Approval</t>
  </si>
  <si>
    <t>WBS-FINANCE_VAT-0812</t>
  </si>
  <si>
    <t>[Kiến Trúc &amp; Schema] In phiếu thu và phiếu chi tiền mặt theo mẫu Thông tư 200/BTC</t>
  </si>
  <si>
    <t>Phân tích yêu cầu nghiệp vụ, thiết kế bảng dữ liệu CSDL PostgreSQL, đặc tả API RESTful và luồng nghiệp vụ chi tiết cho: Sinh mẫu in phiếu thu chi khổ A5 có đầy đủ chữ ký người nộp, thủ quỹ, kế toán</t>
  </si>
  <si>
    <t>/finance/cash-vouchers</t>
  </si>
  <si>
    <t>Thủ Quỹ</t>
  </si>
  <si>
    <t>Circular 200 Cash Voucher Print</t>
  </si>
  <si>
    <t>WBS-FINANCE_VAT-0813</t>
  </si>
  <si>
    <t>[Kiến Trúc &amp; Schema] Cảnh báo nợ đọng hội phí tự động gửi thông báo nhắc nhở đa kênh</t>
  </si>
  <si>
    <t>Phân tích yêu cầu nghiệp vụ, thiết kế bảng dữ liệu CSDL PostgreSQL, đặc tả API RESTful và luồng nghiệp vụ chi tiết cho: Hệ thống gửi email và thông báo đẩy nhắc nợ trước 30 ngày, 15 ngày và ngày hết hạn</t>
  </si>
  <si>
    <t>/finance/debt-reminder</t>
  </si>
  <si>
    <t>Automated Debt Reminder Cron</t>
  </si>
  <si>
    <t>WBS-FINANCE_VAT-0814</t>
  </si>
  <si>
    <t>[Kiến Trúc &amp; Schema] Gia hạn thẻ hội viên tự động ngay khi thanh toán thành công</t>
  </si>
  <si>
    <t>Phân tích yêu cầu nghiệp vụ, thiết kế bảng dữ liệu CSDL PostgreSQL, đặc tả API RESTful và luồng nghiệp vụ chi tiết cho: Cập nhật trường expired_at cộng thêm 365 ngày ngay khi gạch nợ hóa đơn</t>
  </si>
  <si>
    <t>/fees/auto-renewal</t>
  </si>
  <si>
    <t>Membership Expiry Extension</t>
  </si>
  <si>
    <t>WBS-FINANCE_VAT-0815</t>
  </si>
  <si>
    <t>[Kiến Trúc &amp; Schema] Tra cứu lịch sử đóng phí và tải hóa đơn điện tử cho doanh nghiệp</t>
  </si>
  <si>
    <t>Phân tích yêu cầu nghiệp vụ, thiết kế bảng dữ liệu CSDL PostgreSQL, đặc tả API RESTful và luồng nghiệp vụ chi tiết cho: Hội viên tự đăng nhập cổng cá nhân xem và tải bản thể hiện PDF hóa đơn đỏ</t>
  </si>
  <si>
    <t>/members/my-invoices</t>
  </si>
  <si>
    <t>Self-service Invoices</t>
  </si>
  <si>
    <t>WBS-FINANCE_VAT-0816</t>
  </si>
  <si>
    <t>[Kiến Trúc &amp; Schema] Báo cáo lưu chuyển tiền tệ (Cash Flow Statement) theo tháng</t>
  </si>
  <si>
    <t>Phân tích yêu cầu nghiệp vụ, thiết kế bảng dữ liệu CSDL PostgreSQL, đặc tả API RESTful và luồng nghiệp vụ chi tiết cho: Biểu đồ dòng tiền vào, dòng tiền ra và số dư khả dụng cuối kỳ</t>
  </si>
  <si>
    <t>/finance/cash-flow</t>
  </si>
  <si>
    <t>Cash Flow Reporting</t>
  </si>
  <si>
    <t>WBS-FINANCE_VAT-0817</t>
  </si>
  <si>
    <t>[Kiến Trúc &amp; Schema] Tích hợp cổng thanh toán trực tuyến thẻ quốc tế Visa/Mastercard</t>
  </si>
  <si>
    <t>Phân tích yêu cầu nghiệp vụ, thiết kế bảng dữ liệu CSDL PostgreSQL, đặc tả API RESTful và luồng nghiệp vụ chi tiết cho: Thanh toán hội phí cho hội viên quốc tế qua cổng OnePay / VNPAY an toàn</t>
  </si>
  <si>
    <t>/finance/card-checkout</t>
  </si>
  <si>
    <t>Hội Viên Quốc Tế</t>
  </si>
  <si>
    <t>Online Card Gateway Auth</t>
  </si>
  <si>
    <t>WBS-FINANCE_VAT-0818</t>
  </si>
  <si>
    <t>[Kiến Trúc &amp; Schema] Quản lý tỷ giá ngoại tệ USD/EUR/VND cho hội viên nước ngoài</t>
  </si>
  <si>
    <t>Phân tích yêu cầu nghiệp vụ, thiết kế bảng dữ liệu CSDL PostgreSQL, đặc tả API RESTful và luồng nghiệp vụ chi tiết cho: Tự động cập nhật tỷ giá hàng ngày từ Vietcombank để quy đổi hội phí</t>
  </si>
  <si>
    <t>/finance/exchange-rates</t>
  </si>
  <si>
    <t>Exchange Rate Sync Service</t>
  </si>
  <si>
    <t>WBS-FINANCE_VAT-0819</t>
  </si>
  <si>
    <t>[Kiến Trúc &amp; Schema] Khóa sổ tài chính cuối năm tài chính ngăn chặn chỉnh sửa số liệu</t>
  </si>
  <si>
    <t>Phân tích yêu cầu nghiệp vụ, thiết kế bảng dữ liệu CSDL PostgreSQL, đặc tả API RESTful và luồng nghiệp vụ chi tiết cho: Khóa toàn bộ chứng từ năm cũ sau khi quyết toán thuế, chỉ cho phép xem</t>
  </si>
  <si>
    <t>/finance/fiscal-year-close</t>
  </si>
  <si>
    <t>Fiscal Year Lockout</t>
  </si>
  <si>
    <t>WBS-FINANCE_VAT-0820</t>
  </si>
  <si>
    <t>[Kiến Trúc &amp; Schema] Báo cáo kiểm toán minh bạch tài chính trình bày tại Đại hội thường niên</t>
  </si>
  <si>
    <t>Phân tích yêu cầu nghiệp vụ, thiết kế bảng dữ liệu CSDL PostgreSQL, đặc tả API RESTful và luồng nghiệp vụ chi tiết cho: Báo cáo tổng hợp thu chi có kiểm toán viên độc lập xác nhận để trình đại biểu</t>
  </si>
  <si>
    <t>/finance/annual-audit-report</t>
  </si>
  <si>
    <t>Annual Audit Pack</t>
  </si>
  <si>
    <t>WBS-FINANCE_VAT-0821</t>
  </si>
  <si>
    <t>Tài Chính, Kế Toán &amp; Xử Lý Dữ Liệu Excel [Giai đoạn: Xây Dựng Giao Diện Người Dùng Frontend (Desktop &amp; Mobile)]</t>
  </si>
  <si>
    <t>[Giao Diện Frontend] Phát hành Hóa Đơn Giá Trị Gia Tăng Điện Tử (E-Invoice VAT)</t>
  </si>
  <si>
    <t>Phát triển giao diện React/Tailwind, tối ưu hóa responsive di động, xử lý trạng thái loading/error/empty state: Tích hợp cổng VNPT/Viettel Invoice sinh hóa đơn đỏ gửi tự động cho doanh nghiệp</t>
  </si>
  <si>
    <t>WBS-FINANCE_VAT-0822</t>
  </si>
  <si>
    <t>[Giao Diện Frontend] Tạo hóa đơn niên liễm điện tử kèm mã VietQR Napas 24/7 động</t>
  </si>
  <si>
    <t>Phát triển giao diện React/Tailwind, tối ưu hóa responsive di động, xử lý trạng thái loading/error/empty state: Sinh mã VietQR chuẩn EMVCo chứa mã hóa đơn và số tiền, chống sửa đổi nội dung</t>
  </si>
  <si>
    <t>WBS-FINANCE_VAT-0823</t>
  </si>
  <si>
    <t>[Giao Diện Frontend] Xử lý Webhook biến động số dư ngân hàng tự động gạch nợ trong 1s</t>
  </si>
  <si>
    <t>Phát triển giao diện React/Tailwind, tối ưu hóa responsive di động, xử lý trạng thái loading/error/empty state: Ngân hàng gọi webhook -&gt; Xác thực chữ ký số HMAC-SHA256 -&gt; Gạch nợ tức thì</t>
  </si>
  <si>
    <t>WBS-FINANCE_VAT-0824</t>
  </si>
  <si>
    <t>[Giao Diện Frontend] Xử lý chuyển khoản thiếu tiền (under-payment) ghi nhận nợ treo</t>
  </si>
  <si>
    <t>Phát triển giao diện React/Tailwind, tối ưu hóa responsive di động, xử lý trạng thái loading/error/empty state: Chuyển sang trạng thái partially_paid, tự động tính phần dư nợ và sinh QR bổ sung</t>
  </si>
  <si>
    <t>WBS-FINANCE_VAT-0825</t>
  </si>
  <si>
    <t>[Giao Diện Frontend] Xử lý chuyển khoản thừa tiền (over-payment) ký quỹ niên độ sau</t>
  </si>
  <si>
    <t>Phát triển giao diện React/Tailwind, tối ưu hóa responsive di động, xử lý trạng thái loading/error/empty state: Gạch nợ hóa đơn, cộng tiền thừa vào số dư ký quỹ escrow_balance của hội viên</t>
  </si>
  <si>
    <t>WBS-FINANCE_VAT-0826</t>
  </si>
  <si>
    <t>[Giao Diện Frontend] Quy trình hoàn tiền (Refund Workflow) khi hủy vé sự kiện hợp lệ</t>
  </si>
  <si>
    <t>Phát triển giao diện React/Tailwind, tối ưu hóa responsive di động, xử lý trạng thái loading/error/empty state: Lập phiếu đề xuất hoàn chi -&gt; Thẩm định -&gt; Duyệt lệnh hoàn tiền qua ngân hàng</t>
  </si>
  <si>
    <t>WBS-FINANCE_VAT-0827</t>
  </si>
  <si>
    <t>[Giao Diện Frontend] Đối soát tự động sao kê ngân hàng hàng tháng (Bank Reconciliation)</t>
  </si>
  <si>
    <t>Phát triển giao diện React/Tailwind, tối ưu hóa responsive di động, xử lý trạng thái loading/error/empty state: Nạp file sao kê Vietcombank/MBBank (.xlsx/CSV) đối chiếu các giao dịch hệ thống</t>
  </si>
  <si>
    <t>WBS-FINANCE_VAT-0828</t>
  </si>
  <si>
    <t>[Giao Diện Frontend] Quản lý 4 quỹ tài chính độc lập (Niên liễm, Xúc tiến, Từ thiện, Golf)</t>
  </si>
  <si>
    <t>Phát triển giao diện React/Tailwind, tối ưu hóa responsive di động, xử lý trạng thái loading/error/empty state: Hạch toán thu chi riêng biệt từng quỹ, cảnh báo khi chi tiêu vượt định mức</t>
  </si>
  <si>
    <t>WBS-FINANCE_VAT-0829</t>
  </si>
  <si>
    <t>[Giao Diện Frontend] Nhập danh sách dữ liệu hàng loạt từ file Excel (Bulk Import Engine)</t>
  </si>
  <si>
    <t>Phát triển giao diện React/Tailwind, tối ưu hóa responsive di động, xử lý trạng thái loading/error/empty state: Kiểm tra tính hợp lệ dữ liệu, bắt lỗi định dạng ngày tháng, nạp 1000 dòng 1 lúc</t>
  </si>
  <si>
    <t>WBS-FINANCE_VAT-0830</t>
  </si>
  <si>
    <t>[Giao Diện Frontend] Xuất danh sách dữ liệu ra file Excel định dạng chuẩn (Formatted Export)</t>
  </si>
  <si>
    <t>Phát triển giao diện React/Tailwind, tối ưu hóa responsive di động, xử lý trạng thái loading/error/empty state: Xuất file Excel có đầy đủ màu sắc, AutoFilter, định dạng tiền tệ và Freeze panes</t>
  </si>
  <si>
    <t>WBS-FINANCE_VAT-0831</t>
  </si>
  <si>
    <t>[Giao Diện Frontend] Phê duyệt chi ngân sách hiệp hội theo quy trình 3 cấp thẩm quyền</t>
  </si>
  <si>
    <t>Phát triển giao diện React/Tailwind, tối ưu hóa responsive di động, xử lý trạng thái loading/error/empty state: Trưởng ban đề xuất chi -&gt; Kế toán trưởng thẩm định -&gt; Chủ tịch ký duyệt</t>
  </si>
  <si>
    <t>WBS-FINANCE_VAT-0832</t>
  </si>
  <si>
    <t>[Giao Diện Frontend] In phiếu thu và phiếu chi tiền mặt theo mẫu Thông tư 200/BTC</t>
  </si>
  <si>
    <t>Phát triển giao diện React/Tailwind, tối ưu hóa responsive di động, xử lý trạng thái loading/error/empty state: Sinh mẫu in phiếu thu chi khổ A5 có đầy đủ chữ ký người nộp, thủ quỹ, kế toán</t>
  </si>
  <si>
    <t>WBS-FINANCE_VAT-0833</t>
  </si>
  <si>
    <t>[Giao Diện Frontend] Cảnh báo nợ đọng hội phí tự động gửi thông báo nhắc nhở đa kênh</t>
  </si>
  <si>
    <t>Phát triển giao diện React/Tailwind, tối ưu hóa responsive di động, xử lý trạng thái loading/error/empty state: Hệ thống gửi email và thông báo đẩy nhắc nợ trước 30 ngày, 15 ngày và ngày hết hạn</t>
  </si>
  <si>
    <t>WBS-FINANCE_VAT-0834</t>
  </si>
  <si>
    <t>[Giao Diện Frontend] Gia hạn thẻ hội viên tự động ngay khi thanh toán thành công</t>
  </si>
  <si>
    <t>Phát triển giao diện React/Tailwind, tối ưu hóa responsive di động, xử lý trạng thái loading/error/empty state: Cập nhật trường expired_at cộng thêm 365 ngày ngay khi gạch nợ hóa đơn</t>
  </si>
  <si>
    <t>WBS-FINANCE_VAT-0835</t>
  </si>
  <si>
    <t>[Giao Diện Frontend] Tra cứu lịch sử đóng phí và tải hóa đơn điện tử cho doanh nghiệp</t>
  </si>
  <si>
    <t>Phát triển giao diện React/Tailwind, tối ưu hóa responsive di động, xử lý trạng thái loading/error/empty state: Hội viên tự đăng nhập cổng cá nhân xem và tải bản thể hiện PDF hóa đơn đỏ</t>
  </si>
  <si>
    <t>WBS-FINANCE_VAT-0836</t>
  </si>
  <si>
    <t>[Giao Diện Frontend] Báo cáo lưu chuyển tiền tệ (Cash Flow Statement) theo tháng</t>
  </si>
  <si>
    <t>Phát triển giao diện React/Tailwind, tối ưu hóa responsive di động, xử lý trạng thái loading/error/empty state: Biểu đồ dòng tiền vào, dòng tiền ra và số dư khả dụng cuối kỳ</t>
  </si>
  <si>
    <t>WBS-FINANCE_VAT-0837</t>
  </si>
  <si>
    <t>[Giao Diện Frontend] Tích hợp cổng thanh toán trực tuyến thẻ quốc tế Visa/Mastercard</t>
  </si>
  <si>
    <t>Phát triển giao diện React/Tailwind, tối ưu hóa responsive di động, xử lý trạng thái loading/error/empty state: Thanh toán hội phí cho hội viên quốc tế qua cổng OnePay / VNPAY an toàn</t>
  </si>
  <si>
    <t>WBS-FINANCE_VAT-0838</t>
  </si>
  <si>
    <t>[Giao Diện Frontend] Quản lý tỷ giá ngoại tệ USD/EUR/VND cho hội viên nước ngoài</t>
  </si>
  <si>
    <t>Phát triển giao diện React/Tailwind, tối ưu hóa responsive di động, xử lý trạng thái loading/error/empty state: Tự động cập nhật tỷ giá hàng ngày từ Vietcombank để quy đổi hội phí</t>
  </si>
  <si>
    <t>WBS-FINANCE_VAT-0839</t>
  </si>
  <si>
    <t>[Giao Diện Frontend] Khóa sổ tài chính cuối năm tài chính ngăn chặn chỉnh sửa số liệu</t>
  </si>
  <si>
    <t>Phát triển giao diện React/Tailwind, tối ưu hóa responsive di động, xử lý trạng thái loading/error/empty state: Khóa toàn bộ chứng từ năm cũ sau khi quyết toán thuế, chỉ cho phép xem</t>
  </si>
  <si>
    <t>WBS-FINANCE_VAT-0840</t>
  </si>
  <si>
    <t>[Giao Diện Frontend] Báo cáo kiểm toán minh bạch tài chính trình bày tại Đại hội thường niên</t>
  </si>
  <si>
    <t>Phát triển giao diện React/Tailwind, tối ưu hóa responsive di động, xử lý trạng thái loading/error/empty state: Báo cáo tổng hợp thu chi có kiểm toán viên độc lập xác nhận để trình đại biểu</t>
  </si>
  <si>
    <t>WBS-FINANCE_VAT-0841</t>
  </si>
  <si>
    <t>Tài Chính, Kế Toán &amp; Xử Lý Dữ Liệu Excel [Giai đoạn: Xử Lý Logic Nghiệp Vụ Backend API &amp; Cơ Sở Dữ Liệu CSDL]</t>
  </si>
  <si>
    <t>[Logic Backend CSDL] Phát hành Hóa Đơn Giá Trị Gia Tăng Điện Tử (E-Invoice VAT)</t>
  </si>
  <si>
    <t>Xây dựng NestJS Controller, Service, Prisma ORM, kiểm tra ràng buộc dữ liệu DTO và xử lý Transaction ACID: Tích hợp cổng VNPT/Viettel Invoice sinh hóa đơn đỏ gửi tự động cho doanh nghiệp</t>
  </si>
  <si>
    <t>WBS-FINANCE_VAT-0842</t>
  </si>
  <si>
    <t>[Logic Backend CSDL] Tạo hóa đơn niên liễm điện tử kèm mã VietQR Napas 24/7 động</t>
  </si>
  <si>
    <t>Xây dựng NestJS Controller, Service, Prisma ORM, kiểm tra ràng buộc dữ liệu DTO và xử lý Transaction ACID: Sinh mã VietQR chuẩn EMVCo chứa mã hóa đơn và số tiền, chống sửa đổi nội dung</t>
  </si>
  <si>
    <t>WBS-FINANCE_VAT-0843</t>
  </si>
  <si>
    <t>[Logic Backend CSDL] Xử lý Webhook biến động số dư ngân hàng tự động gạch nợ trong 1s</t>
  </si>
  <si>
    <t>Xây dựng NestJS Controller, Service, Prisma ORM, kiểm tra ràng buộc dữ liệu DTO và xử lý Transaction ACID: Ngân hàng gọi webhook -&gt; Xác thực chữ ký số HMAC-SHA256 -&gt; Gạch nợ tức thì</t>
  </si>
  <si>
    <t>WBS-FINANCE_VAT-0844</t>
  </si>
  <si>
    <t>[Logic Backend CSDL] Xử lý chuyển khoản thiếu tiền (under-payment) ghi nhận nợ treo</t>
  </si>
  <si>
    <t>Xây dựng NestJS Controller, Service, Prisma ORM, kiểm tra ràng buộc dữ liệu DTO và xử lý Transaction ACID: Chuyển sang trạng thái partially_paid, tự động tính phần dư nợ và sinh QR bổ sung</t>
  </si>
  <si>
    <t>WBS-FINANCE_VAT-0845</t>
  </si>
  <si>
    <t>[Logic Backend CSDL] Xử lý chuyển khoản thừa tiền (over-payment) ký quỹ niên độ sau</t>
  </si>
  <si>
    <t>Xây dựng NestJS Controller, Service, Prisma ORM, kiểm tra ràng buộc dữ liệu DTO và xử lý Transaction ACID: Gạch nợ hóa đơn, cộng tiền thừa vào số dư ký quỹ escrow_balance của hội viên</t>
  </si>
  <si>
    <t>WBS-FINANCE_VAT-0846</t>
  </si>
  <si>
    <t>[Logic Backend CSDL] Quy trình hoàn tiền (Refund Workflow) khi hủy vé sự kiện hợp lệ</t>
  </si>
  <si>
    <t>Xây dựng NestJS Controller, Service, Prisma ORM, kiểm tra ràng buộc dữ liệu DTO và xử lý Transaction ACID: Lập phiếu đề xuất hoàn chi -&gt; Thẩm định -&gt; Duyệt lệnh hoàn tiền qua ngân hàng</t>
  </si>
  <si>
    <t>WBS-FINANCE_VAT-0847</t>
  </si>
  <si>
    <t>[Logic Backend CSDL] Đối soát tự động sao kê ngân hàng hàng tháng (Bank Reconciliation)</t>
  </si>
  <si>
    <t>Xây dựng NestJS Controller, Service, Prisma ORM, kiểm tra ràng buộc dữ liệu DTO và xử lý Transaction ACID: Nạp file sao kê Vietcombank/MBBank (.xlsx/CSV) đối chiếu các giao dịch hệ thống</t>
  </si>
  <si>
    <t>WBS-FINANCE_VAT-0848</t>
  </si>
  <si>
    <t>[Logic Backend CSDL] Quản lý 4 quỹ tài chính độc lập (Niên liễm, Xúc tiến, Từ thiện, Golf)</t>
  </si>
  <si>
    <t>Xây dựng NestJS Controller, Service, Prisma ORM, kiểm tra ràng buộc dữ liệu DTO và xử lý Transaction ACID: Hạch toán thu chi riêng biệt từng quỹ, cảnh báo khi chi tiêu vượt định mức</t>
  </si>
  <si>
    <t>WBS-FINANCE_VAT-0849</t>
  </si>
  <si>
    <t>[Logic Backend CSDL] Nhập danh sách dữ liệu hàng loạt từ file Excel (Bulk Import Engine)</t>
  </si>
  <si>
    <t>Xây dựng NestJS Controller, Service, Prisma ORM, kiểm tra ràng buộc dữ liệu DTO và xử lý Transaction ACID: Kiểm tra tính hợp lệ dữ liệu, bắt lỗi định dạng ngày tháng, nạp 1000 dòng 1 lúc</t>
  </si>
  <si>
    <t>WBS-FINANCE_VAT-0850</t>
  </si>
  <si>
    <t>[Logic Backend CSDL] Xuất danh sách dữ liệu ra file Excel định dạng chuẩn (Formatted Export)</t>
  </si>
  <si>
    <t>Xây dựng NestJS Controller, Service, Prisma ORM, kiểm tra ràng buộc dữ liệu DTO và xử lý Transaction ACID: Xuất file Excel có đầy đủ màu sắc, AutoFilter, định dạng tiền tệ và Freeze panes</t>
  </si>
  <si>
    <t>WBS-FINANCE_VAT-0851</t>
  </si>
  <si>
    <t>[Logic Backend CSDL] Phê duyệt chi ngân sách hiệp hội theo quy trình 3 cấp thẩm quyền</t>
  </si>
  <si>
    <t>Xây dựng NestJS Controller, Service, Prisma ORM, kiểm tra ràng buộc dữ liệu DTO và xử lý Transaction ACID: Trưởng ban đề xuất chi -&gt; Kế toán trưởng thẩm định -&gt; Chủ tịch ký duyệt</t>
  </si>
  <si>
    <t>WBS-FINANCE_VAT-0852</t>
  </si>
  <si>
    <t>[Logic Backend CSDL] In phiếu thu và phiếu chi tiền mặt theo mẫu Thông tư 200/BTC</t>
  </si>
  <si>
    <t>Xây dựng NestJS Controller, Service, Prisma ORM, kiểm tra ràng buộc dữ liệu DTO và xử lý Transaction ACID: Sinh mẫu in phiếu thu chi khổ A5 có đầy đủ chữ ký người nộp, thủ quỹ, kế toán</t>
  </si>
  <si>
    <t>WBS-FINANCE_VAT-0853</t>
  </si>
  <si>
    <t>[Logic Backend CSDL] Cảnh báo nợ đọng hội phí tự động gửi thông báo nhắc nhở đa kênh</t>
  </si>
  <si>
    <t>Xây dựng NestJS Controller, Service, Prisma ORM, kiểm tra ràng buộc dữ liệu DTO và xử lý Transaction ACID: Hệ thống gửi email và thông báo đẩy nhắc nợ trước 30 ngày, 15 ngày và ngày hết hạn</t>
  </si>
  <si>
    <t>WBS-FINANCE_VAT-0854</t>
  </si>
  <si>
    <t>[Logic Backend CSDL] Gia hạn thẻ hội viên tự động ngay khi thanh toán thành công</t>
  </si>
  <si>
    <t>Xây dựng NestJS Controller, Service, Prisma ORM, kiểm tra ràng buộc dữ liệu DTO và xử lý Transaction ACID: Cập nhật trường expired_at cộng thêm 365 ngày ngay khi gạch nợ hóa đơn</t>
  </si>
  <si>
    <t>WBS-FINANCE_VAT-0855</t>
  </si>
  <si>
    <t>[Logic Backend CSDL] Tra cứu lịch sử đóng phí và tải hóa đơn điện tử cho doanh nghiệp</t>
  </si>
  <si>
    <t>Xây dựng NestJS Controller, Service, Prisma ORM, kiểm tra ràng buộc dữ liệu DTO và xử lý Transaction ACID: Hội viên tự đăng nhập cổng cá nhân xem và tải bản thể hiện PDF hóa đơn đỏ</t>
  </si>
  <si>
    <t>WBS-FINANCE_VAT-0856</t>
  </si>
  <si>
    <t>[Logic Backend CSDL] Báo cáo lưu chuyển tiền tệ (Cash Flow Statement) theo tháng</t>
  </si>
  <si>
    <t>Xây dựng NestJS Controller, Service, Prisma ORM, kiểm tra ràng buộc dữ liệu DTO và xử lý Transaction ACID: Biểu đồ dòng tiền vào, dòng tiền ra và số dư khả dụng cuối kỳ</t>
  </si>
  <si>
    <t>WBS-FINANCE_VAT-0857</t>
  </si>
  <si>
    <t>[Logic Backend CSDL] Tích hợp cổng thanh toán trực tuyến thẻ quốc tế Visa/Mastercard</t>
  </si>
  <si>
    <t>Xây dựng NestJS Controller, Service, Prisma ORM, kiểm tra ràng buộc dữ liệu DTO và xử lý Transaction ACID: Thanh toán hội phí cho hội viên quốc tế qua cổng OnePay / VNPAY an toàn</t>
  </si>
  <si>
    <t>WBS-FINANCE_VAT-0858</t>
  </si>
  <si>
    <t>[Logic Backend CSDL] Quản lý tỷ giá ngoại tệ USD/EUR/VND cho hội viên nước ngoài</t>
  </si>
  <si>
    <t>Xây dựng NestJS Controller, Service, Prisma ORM, kiểm tra ràng buộc dữ liệu DTO và xử lý Transaction ACID: Tự động cập nhật tỷ giá hàng ngày từ Vietcombank để quy đổi hội phí</t>
  </si>
  <si>
    <t>WBS-FINANCE_VAT-0859</t>
  </si>
  <si>
    <t>[Logic Backend CSDL] Khóa sổ tài chính cuối năm tài chính ngăn chặn chỉnh sửa số liệu</t>
  </si>
  <si>
    <t>Xây dựng NestJS Controller, Service, Prisma ORM, kiểm tra ràng buộc dữ liệu DTO và xử lý Transaction ACID: Khóa toàn bộ chứng từ năm cũ sau khi quyết toán thuế, chỉ cho phép xem</t>
  </si>
  <si>
    <t>WBS-FINANCE_VAT-0860</t>
  </si>
  <si>
    <t>[Logic Backend CSDL] Báo cáo kiểm toán minh bạch tài chính trình bày tại Đại hội thường niên</t>
  </si>
  <si>
    <t>Xây dựng NestJS Controller, Service, Prisma ORM, kiểm tra ràng buộc dữ liệu DTO và xử lý Transaction ACID: Báo cáo tổng hợp thu chi có kiểm toán viên độc lập xác nhận để trình đại biểu</t>
  </si>
  <si>
    <t>WBS-FINANCE_VAT-0861</t>
  </si>
  <si>
    <t>Tài Chính, Kế Toán &amp; Xử Lý Dữ Liệu Excel [Giai đoạn: Tích Hợp Realtime, Hàng Đợi Worker &amp; Bảo Mật Granular RBAC]</t>
  </si>
  <si>
    <t>[Tích Hợp &amp; Bảo Mật] Phát hành Hóa Đơn Giá Trị Gia Tăng Điện Tử (E-Invoice VAT)</t>
  </si>
  <si>
    <t>Tích hợp phân quyền Granular RBAC, bảo vệ chống XSS/SQLi, caching Redis và cơ chế realtime/worker: Tích hợp cổng VNPT/Viettel Invoice sinh hóa đơn đỏ gửi tự động cho doanh nghiệp</t>
  </si>
  <si>
    <t>WBS-FINANCE_VAT-0862</t>
  </si>
  <si>
    <t>[Tích Hợp &amp; Bảo Mật] Tạo hóa đơn niên liễm điện tử kèm mã VietQR Napas 24/7 động</t>
  </si>
  <si>
    <t>Tích hợp phân quyền Granular RBAC, bảo vệ chống XSS/SQLi, caching Redis và cơ chế realtime/worker: Sinh mã VietQR chuẩn EMVCo chứa mã hóa đơn và số tiền, chống sửa đổi nội dung</t>
  </si>
  <si>
    <t>WBS-FINANCE_VAT-0863</t>
  </si>
  <si>
    <t>[Tích Hợp &amp; Bảo Mật] Xử lý Webhook biến động số dư ngân hàng tự động gạch nợ trong 1s</t>
  </si>
  <si>
    <t>Tích hợp phân quyền Granular RBAC, bảo vệ chống XSS/SQLi, caching Redis và cơ chế realtime/worker: Ngân hàng gọi webhook -&gt; Xác thực chữ ký số HMAC-SHA256 -&gt; Gạch nợ tức thì</t>
  </si>
  <si>
    <t>WBS-FINANCE_VAT-0864</t>
  </si>
  <si>
    <t>[Tích Hợp &amp; Bảo Mật] Xử lý chuyển khoản thiếu tiền (under-payment) ghi nhận nợ treo</t>
  </si>
  <si>
    <t>Tích hợp phân quyền Granular RBAC, bảo vệ chống XSS/SQLi, caching Redis và cơ chế realtime/worker: Chuyển sang trạng thái partially_paid, tự động tính phần dư nợ và sinh QR bổ sung</t>
  </si>
  <si>
    <t>WBS-FINANCE_VAT-0865</t>
  </si>
  <si>
    <t>[Tích Hợp &amp; Bảo Mật] Xử lý chuyển khoản thừa tiền (over-payment) ký quỹ niên độ sau</t>
  </si>
  <si>
    <t>Tích hợp phân quyền Granular RBAC, bảo vệ chống XSS/SQLi, caching Redis và cơ chế realtime/worker: Gạch nợ hóa đơn, cộng tiền thừa vào số dư ký quỹ escrow_balance của hội viên</t>
  </si>
  <si>
    <t>WBS-FINANCE_VAT-0866</t>
  </si>
  <si>
    <t>[Tích Hợp &amp; Bảo Mật] Quy trình hoàn tiền (Refund Workflow) khi hủy vé sự kiện hợp lệ</t>
  </si>
  <si>
    <t>Tích hợp phân quyền Granular RBAC, bảo vệ chống XSS/SQLi, caching Redis và cơ chế realtime/worker: Lập phiếu đề xuất hoàn chi -&gt; Thẩm định -&gt; Duyệt lệnh hoàn tiền qua ngân hàng</t>
  </si>
  <si>
    <t>WBS-FINANCE_VAT-0867</t>
  </si>
  <si>
    <t>[Tích Hợp &amp; Bảo Mật] Đối soát tự động sao kê ngân hàng hàng tháng (Bank Reconciliation)</t>
  </si>
  <si>
    <t>Tích hợp phân quyền Granular RBAC, bảo vệ chống XSS/SQLi, caching Redis và cơ chế realtime/worker: Nạp file sao kê Vietcombank/MBBank (.xlsx/CSV) đối chiếu các giao dịch hệ thống</t>
  </si>
  <si>
    <t>WBS-FINANCE_VAT-0868</t>
  </si>
  <si>
    <t>[Tích Hợp &amp; Bảo Mật] Quản lý 4 quỹ tài chính độc lập (Niên liễm, Xúc tiến, Từ thiện, Golf)</t>
  </si>
  <si>
    <t>Tích hợp phân quyền Granular RBAC, bảo vệ chống XSS/SQLi, caching Redis và cơ chế realtime/worker: Hạch toán thu chi riêng biệt từng quỹ, cảnh báo khi chi tiêu vượt định mức</t>
  </si>
  <si>
    <t>WBS-FINANCE_VAT-0869</t>
  </si>
  <si>
    <t>[Tích Hợp &amp; Bảo Mật] Nhập danh sách dữ liệu hàng loạt từ file Excel (Bulk Import Engine)</t>
  </si>
  <si>
    <t>Tích hợp phân quyền Granular RBAC, bảo vệ chống XSS/SQLi, caching Redis và cơ chế realtime/worker: Kiểm tra tính hợp lệ dữ liệu, bắt lỗi định dạng ngày tháng, nạp 1000 dòng 1 lúc</t>
  </si>
  <si>
    <t>WBS-FINANCE_VAT-0870</t>
  </si>
  <si>
    <t>[Tích Hợp &amp; Bảo Mật] Xuất danh sách dữ liệu ra file Excel định dạng chuẩn (Formatted Export)</t>
  </si>
  <si>
    <t>Tích hợp phân quyền Granular RBAC, bảo vệ chống XSS/SQLi, caching Redis và cơ chế realtime/worker: Xuất file Excel có đầy đủ màu sắc, AutoFilter, định dạng tiền tệ và Freeze panes</t>
  </si>
  <si>
    <t>WBS-FINANCE_VAT-0871</t>
  </si>
  <si>
    <t>[Tích Hợp &amp; Bảo Mật] Phê duyệt chi ngân sách hiệp hội theo quy trình 3 cấp thẩm quyền</t>
  </si>
  <si>
    <t>Tích hợp phân quyền Granular RBAC, bảo vệ chống XSS/SQLi, caching Redis và cơ chế realtime/worker: Trưởng ban đề xuất chi -&gt; Kế toán trưởng thẩm định -&gt; Chủ tịch ký duyệt</t>
  </si>
  <si>
    <t>WBS-FINANCE_VAT-0872</t>
  </si>
  <si>
    <t>[Tích Hợp &amp; Bảo Mật] In phiếu thu và phiếu chi tiền mặt theo mẫu Thông tư 200/BTC</t>
  </si>
  <si>
    <t>Tích hợp phân quyền Granular RBAC, bảo vệ chống XSS/SQLi, caching Redis và cơ chế realtime/worker: Sinh mẫu in phiếu thu chi khổ A5 có đầy đủ chữ ký người nộp, thủ quỹ, kế toán</t>
  </si>
  <si>
    <t>WBS-FINANCE_VAT-0873</t>
  </si>
  <si>
    <t>[Tích Hợp &amp; Bảo Mật] Cảnh báo nợ đọng hội phí tự động gửi thông báo nhắc nhở đa kênh</t>
  </si>
  <si>
    <t>Tích hợp phân quyền Granular RBAC, bảo vệ chống XSS/SQLi, caching Redis và cơ chế realtime/worker: Hệ thống gửi email và thông báo đẩy nhắc nợ trước 30 ngày, 15 ngày và ngày hết hạn</t>
  </si>
  <si>
    <t>WBS-FINANCE_VAT-0874</t>
  </si>
  <si>
    <t>[Tích Hợp &amp; Bảo Mật] Gia hạn thẻ hội viên tự động ngay khi thanh toán thành công</t>
  </si>
  <si>
    <t>Tích hợp phân quyền Granular RBAC, bảo vệ chống XSS/SQLi, caching Redis và cơ chế realtime/worker: Cập nhật trường expired_at cộng thêm 365 ngày ngay khi gạch nợ hóa đơn</t>
  </si>
  <si>
    <t>WBS-FINANCE_VAT-0875</t>
  </si>
  <si>
    <t>[Tích Hợp &amp; Bảo Mật] Tra cứu lịch sử đóng phí và tải hóa đơn điện tử cho doanh nghiệp</t>
  </si>
  <si>
    <t>Tích hợp phân quyền Granular RBAC, bảo vệ chống XSS/SQLi, caching Redis và cơ chế realtime/worker: Hội viên tự đăng nhập cổng cá nhân xem và tải bản thể hiện PDF hóa đơn đỏ</t>
  </si>
  <si>
    <t>WBS-FINANCE_VAT-0876</t>
  </si>
  <si>
    <t>[Tích Hợp &amp; Bảo Mật] Báo cáo lưu chuyển tiền tệ (Cash Flow Statement) theo tháng</t>
  </si>
  <si>
    <t>Tích hợp phân quyền Granular RBAC, bảo vệ chống XSS/SQLi, caching Redis và cơ chế realtime/worker: Biểu đồ dòng tiền vào, dòng tiền ra và số dư khả dụng cuối kỳ</t>
  </si>
  <si>
    <t>WBS-FINANCE_VAT-0877</t>
  </si>
  <si>
    <t>[Tích Hợp &amp; Bảo Mật] Tích hợp cổng thanh toán trực tuyến thẻ quốc tế Visa/Mastercard</t>
  </si>
  <si>
    <t>Tích hợp phân quyền Granular RBAC, bảo vệ chống XSS/SQLi, caching Redis và cơ chế realtime/worker: Thanh toán hội phí cho hội viên quốc tế qua cổng OnePay / VNPAY an toàn</t>
  </si>
  <si>
    <t>WBS-FINANCE_VAT-0878</t>
  </si>
  <si>
    <t>[Tích Hợp &amp; Bảo Mật] Quản lý tỷ giá ngoại tệ USD/EUR/VND cho hội viên nước ngoài</t>
  </si>
  <si>
    <t>Tích hợp phân quyền Granular RBAC, bảo vệ chống XSS/SQLi, caching Redis và cơ chế realtime/worker: Tự động cập nhật tỷ giá hàng ngày từ Vietcombank để quy đổi hội phí</t>
  </si>
  <si>
    <t>WBS-FINANCE_VAT-0879</t>
  </si>
  <si>
    <t>[Tích Hợp &amp; Bảo Mật] Khóa sổ tài chính cuối năm tài chính ngăn chặn chỉnh sửa số liệu</t>
  </si>
  <si>
    <t>Tích hợp phân quyền Granular RBAC, bảo vệ chống XSS/SQLi, caching Redis và cơ chế realtime/worker: Khóa toàn bộ chứng từ năm cũ sau khi quyết toán thuế, chỉ cho phép xem</t>
  </si>
  <si>
    <t>WBS-FINANCE_VAT-0880</t>
  </si>
  <si>
    <t>[Tích Hợp &amp; Bảo Mật] Báo cáo kiểm toán minh bạch tài chính trình bày tại Đại hội thường niên</t>
  </si>
  <si>
    <t>Tích hợp phân quyền Granular RBAC, bảo vệ chống XSS/SQLi, caching Redis và cơ chế realtime/worker: Báo cáo tổng hợp thu chi có kiểm toán viên độc lập xác nhận để trình đại biểu</t>
  </si>
  <si>
    <t>WBS-FINANCE_VAT-0881</t>
  </si>
  <si>
    <t>Tài Chính, Kế Toán &amp; Xử Lý Dữ Liệu Excel [Giai đoạn: Kiểm Thử Tự Động Toàn Diện E2E, Hiệu Năng &amp; Nghiệm Thu UAT]</t>
  </si>
  <si>
    <t>[Kiểm Thử E2E &amp; UAT] Phát hành Hóa Đơn Giá Trị Gia Tăng Điện Tử (E-Invoice VAT)</t>
  </si>
  <si>
    <t>Kiểm thử hộp đen/hộp trắng toàn diện, kiểm tra tải đồng thời, đối soát dữ liệu và nghiệm thu Ban Lãnh Đạo: Tích hợp cổng VNPT/Viettel Invoice sinh hóa đơn đỏ gửi tự động cho doanh nghiệp</t>
  </si>
  <si>
    <t>WBS-FINANCE_VAT-0882</t>
  </si>
  <si>
    <t>[Kiểm Thử E2E &amp; UAT] Tạo hóa đơn niên liễm điện tử kèm mã VietQR Napas 24/7 động</t>
  </si>
  <si>
    <t>Kiểm thử hộp đen/hộp trắng toàn diện, kiểm tra tải đồng thời, đối soát dữ liệu và nghiệm thu Ban Lãnh Đạo: Sinh mã VietQR chuẩn EMVCo chứa mã hóa đơn và số tiền, chống sửa đổi nội dung</t>
  </si>
  <si>
    <t>WBS-FINANCE_VAT-0883</t>
  </si>
  <si>
    <t>[Kiểm Thử E2E &amp; UAT] Xử lý Webhook biến động số dư ngân hàng tự động gạch nợ trong 1s</t>
  </si>
  <si>
    <t>Kiểm thử hộp đen/hộp trắng toàn diện, kiểm tra tải đồng thời, đối soát dữ liệu và nghiệm thu Ban Lãnh Đạo: Ngân hàng gọi webhook -&gt; Xác thực chữ ký số HMAC-SHA256 -&gt; Gạch nợ tức thì</t>
  </si>
  <si>
    <t>WBS-FINANCE_VAT-0884</t>
  </si>
  <si>
    <t>[Kiểm Thử E2E &amp; UAT] Xử lý chuyển khoản thiếu tiền (under-payment) ghi nhận nợ treo</t>
  </si>
  <si>
    <t>Kiểm thử hộp đen/hộp trắng toàn diện, kiểm tra tải đồng thời, đối soát dữ liệu và nghiệm thu Ban Lãnh Đạo: Chuyển sang trạng thái partially_paid, tự động tính phần dư nợ và sinh QR bổ sung</t>
  </si>
  <si>
    <t>WBS-FINANCE_VAT-0885</t>
  </si>
  <si>
    <t>[Kiểm Thử E2E &amp; UAT] Xử lý chuyển khoản thừa tiền (over-payment) ký quỹ niên độ sau</t>
  </si>
  <si>
    <t>Kiểm thử hộp đen/hộp trắng toàn diện, kiểm tra tải đồng thời, đối soát dữ liệu và nghiệm thu Ban Lãnh Đạo: Gạch nợ hóa đơn, cộng tiền thừa vào số dư ký quỹ escrow_balance của hội viên</t>
  </si>
  <si>
    <t>WBS-FINANCE_VAT-0886</t>
  </si>
  <si>
    <t>[Kiểm Thử E2E &amp; UAT] Quy trình hoàn tiền (Refund Workflow) khi hủy vé sự kiện hợp lệ</t>
  </si>
  <si>
    <t>Kiểm thử hộp đen/hộp trắng toàn diện, kiểm tra tải đồng thời, đối soát dữ liệu và nghiệm thu Ban Lãnh Đạo: Lập phiếu đề xuất hoàn chi -&gt; Thẩm định -&gt; Duyệt lệnh hoàn tiền qua ngân hàng</t>
  </si>
  <si>
    <t>WBS-FINANCE_VAT-0887</t>
  </si>
  <si>
    <t>[Kiểm Thử E2E &amp; UAT] Đối soát tự động sao kê ngân hàng hàng tháng (Bank Reconciliation)</t>
  </si>
  <si>
    <t>Kiểm thử hộp đen/hộp trắng toàn diện, kiểm tra tải đồng thời, đối soát dữ liệu và nghiệm thu Ban Lãnh Đạo: Nạp file sao kê Vietcombank/MBBank (.xlsx/CSV) đối chiếu các giao dịch hệ thống</t>
  </si>
  <si>
    <t>WBS-FINANCE_VAT-0888</t>
  </si>
  <si>
    <t>[Kiểm Thử E2E &amp; UAT] Quản lý 4 quỹ tài chính độc lập (Niên liễm, Xúc tiến, Từ thiện, Golf)</t>
  </si>
  <si>
    <t>Kiểm thử hộp đen/hộp trắng toàn diện, kiểm tra tải đồng thời, đối soát dữ liệu và nghiệm thu Ban Lãnh Đạo: Hạch toán thu chi riêng biệt từng quỹ, cảnh báo khi chi tiêu vượt định mức</t>
  </si>
  <si>
    <t>WBS-FINANCE_VAT-0889</t>
  </si>
  <si>
    <t>[Kiểm Thử E2E &amp; UAT] Nhập danh sách dữ liệu hàng loạt từ file Excel (Bulk Import Engine)</t>
  </si>
  <si>
    <t>Kiểm thử hộp đen/hộp trắng toàn diện, kiểm tra tải đồng thời, đối soát dữ liệu và nghiệm thu Ban Lãnh Đạo: Kiểm tra tính hợp lệ dữ liệu, bắt lỗi định dạng ngày tháng, nạp 1000 dòng 1 lúc</t>
  </si>
  <si>
    <t>WBS-FINANCE_VAT-0890</t>
  </si>
  <si>
    <t>[Kiểm Thử E2E &amp; UAT] Xuất danh sách dữ liệu ra file Excel định dạng chuẩn (Formatted Export)</t>
  </si>
  <si>
    <t>Kiểm thử hộp đen/hộp trắng toàn diện, kiểm tra tải đồng thời, đối soát dữ liệu và nghiệm thu Ban Lãnh Đạo: Xuất file Excel có đầy đủ màu sắc, AutoFilter, định dạng tiền tệ và Freeze panes</t>
  </si>
  <si>
    <t>WBS-FINANCE_VAT-0891</t>
  </si>
  <si>
    <t>[Kiểm Thử E2E &amp; UAT] Phê duyệt chi ngân sách hiệp hội theo quy trình 3 cấp thẩm quyền</t>
  </si>
  <si>
    <t>Kiểm thử hộp đen/hộp trắng toàn diện, kiểm tra tải đồng thời, đối soát dữ liệu và nghiệm thu Ban Lãnh Đạo: Trưởng ban đề xuất chi -&gt; Kế toán trưởng thẩm định -&gt; Chủ tịch ký duyệt</t>
  </si>
  <si>
    <t>WBS-FINANCE_VAT-0892</t>
  </si>
  <si>
    <t>[Kiểm Thử E2E &amp; UAT] In phiếu thu và phiếu chi tiền mặt theo mẫu Thông tư 200/BTC</t>
  </si>
  <si>
    <t>Kiểm thử hộp đen/hộp trắng toàn diện, kiểm tra tải đồng thời, đối soát dữ liệu và nghiệm thu Ban Lãnh Đạo: Sinh mẫu in phiếu thu chi khổ A5 có đầy đủ chữ ký người nộp, thủ quỹ, kế toán</t>
  </si>
  <si>
    <t>WBS-FINANCE_VAT-0893</t>
  </si>
  <si>
    <t>[Kiểm Thử E2E &amp; UAT] Cảnh báo nợ đọng hội phí tự động gửi thông báo nhắc nhở đa kênh</t>
  </si>
  <si>
    <t>Kiểm thử hộp đen/hộp trắng toàn diện, kiểm tra tải đồng thời, đối soát dữ liệu và nghiệm thu Ban Lãnh Đạo: Hệ thống gửi email và thông báo đẩy nhắc nợ trước 30 ngày, 15 ngày và ngày hết hạn</t>
  </si>
  <si>
    <t>WBS-FINANCE_VAT-0894</t>
  </si>
  <si>
    <t>[Kiểm Thử E2E &amp; UAT] Gia hạn thẻ hội viên tự động ngay khi thanh toán thành công</t>
  </si>
  <si>
    <t>Kiểm thử hộp đen/hộp trắng toàn diện, kiểm tra tải đồng thời, đối soát dữ liệu và nghiệm thu Ban Lãnh Đạo: Cập nhật trường expired_at cộng thêm 365 ngày ngay khi gạch nợ hóa đơn</t>
  </si>
  <si>
    <t>WBS-FINANCE_VAT-0895</t>
  </si>
  <si>
    <t>[Kiểm Thử E2E &amp; UAT] Tra cứu lịch sử đóng phí và tải hóa đơn điện tử cho doanh nghiệp</t>
  </si>
  <si>
    <t>Kiểm thử hộp đen/hộp trắng toàn diện, kiểm tra tải đồng thời, đối soát dữ liệu và nghiệm thu Ban Lãnh Đạo: Hội viên tự đăng nhập cổng cá nhân xem và tải bản thể hiện PDF hóa đơn đỏ</t>
  </si>
  <si>
    <t>WBS-FINANCE_VAT-0896</t>
  </si>
  <si>
    <t>[Kiểm Thử E2E &amp; UAT] Báo cáo lưu chuyển tiền tệ (Cash Flow Statement) theo tháng</t>
  </si>
  <si>
    <t>Kiểm thử hộp đen/hộp trắng toàn diện, kiểm tra tải đồng thời, đối soát dữ liệu và nghiệm thu Ban Lãnh Đạo: Biểu đồ dòng tiền vào, dòng tiền ra và số dư khả dụng cuối kỳ</t>
  </si>
  <si>
    <t>WBS-FINANCE_VAT-0897</t>
  </si>
  <si>
    <t>[Kiểm Thử E2E &amp; UAT] Tích hợp cổng thanh toán trực tuyến thẻ quốc tế Visa/Mastercard</t>
  </si>
  <si>
    <t>Kiểm thử hộp đen/hộp trắng toàn diện, kiểm tra tải đồng thời, đối soát dữ liệu và nghiệm thu Ban Lãnh Đạo: Thanh toán hội phí cho hội viên quốc tế qua cổng OnePay / VNPAY an toàn</t>
  </si>
  <si>
    <t>WBS-FINANCE_VAT-0898</t>
  </si>
  <si>
    <t>[Kiểm Thử E2E &amp; UAT] Quản lý tỷ giá ngoại tệ USD/EUR/VND cho hội viên nước ngoài</t>
  </si>
  <si>
    <t>Kiểm thử hộp đen/hộp trắng toàn diện, kiểm tra tải đồng thời, đối soát dữ liệu và nghiệm thu Ban Lãnh Đạo: Tự động cập nhật tỷ giá hàng ngày từ Vietcombank để quy đổi hội phí</t>
  </si>
  <si>
    <t>WBS-FINANCE_VAT-0899</t>
  </si>
  <si>
    <t>[Kiểm Thử E2E &amp; UAT] Khóa sổ tài chính cuối năm tài chính ngăn chặn chỉnh sửa số liệu</t>
  </si>
  <si>
    <t>Kiểm thử hộp đen/hộp trắng toàn diện, kiểm tra tải đồng thời, đối soát dữ liệu và nghiệm thu Ban Lãnh Đạo: Khóa toàn bộ chứng từ năm cũ sau khi quyết toán thuế, chỉ cho phép xem</t>
  </si>
  <si>
    <t>WBS-FINANCE_VAT-0900</t>
  </si>
  <si>
    <t>[Kiểm Thử E2E &amp; UAT] Báo cáo kiểm toán minh bạch tài chính trình bày tại Đại hội thường niên</t>
  </si>
  <si>
    <t>Kiểm thử hộp đen/hộp trắng toàn diện, kiểm tra tải đồng thời, đối soát dữ liệu và nghiệm thu Ban Lãnh Đạo: Báo cáo tổng hợp thu chi có kiểm toán viên độc lập xác nhận để trình đại biểu</t>
  </si>
  <si>
    <t>VIONE MASTER WBS: SỰ KIỆN, SƠ ĐỒ BÀN TIỆC VIP, BẦU CỬ SỐ &amp; THẺ NFC</t>
  </si>
  <si>
    <t>WBS-EVENT_SEAT-0901</t>
  </si>
  <si>
    <t>Sự Kiện Khán Phòng, Bầu Cử &amp; Thẻ Thông Minh [Giai đoạn: Khởi Tạo, Phân Tích Nghiệp Vụ &amp; Mô Hình Dữ Liệu]</t>
  </si>
  <si>
    <t>[Kiến Trúc &amp; Schema] Thiết lập sự kiện Đại Hội Doanh Nhân &amp; Dạ tiệc Gala quy mô 500 khách</t>
  </si>
  <si>
    <t>Phân tích yêu cầu nghiệp vụ, thiết kế bảng dữ liệu CSDL PostgreSQL, đặc tả API RESTful và luồng nghiệp vụ chi tiết cho: Khai báo tên sự kiện, thời gian, địa điểm Keangnam Landmark 72, sơ đồ khán phòng</t>
  </si>
  <si>
    <t>/events/create</t>
  </si>
  <si>
    <t>Ban Tổ Chức</t>
  </si>
  <si>
    <t>Event Master Setup</t>
  </si>
  <si>
    <t>WBS-EVENT_SEAT-0902</t>
  </si>
  <si>
    <t>[Kiến Trúc &amp; Schema] Cấu hình Sơ đồ Bàn tiệc VIP &amp; Ghế ngồi Grand Ballroom 25 bàn tròn</t>
  </si>
  <si>
    <t>Phân tích yêu cầu nghiệp vụ, thiết kế bảng dữ liệu CSDL PostgreSQL, đặc tả API RESTful và luồng nghiệp vụ chi tiết cho: Phân chia Bàn VIP-01 (Chủ tịch), Bàn Nhà tài trợ Kim Cương, Bàn Hội đồng</t>
  </si>
  <si>
    <t>/events/:id/seating-layout</t>
  </si>
  <si>
    <t>Interactive Seating Canvas</t>
  </si>
  <si>
    <t>WBS-EVENT_SEAT-0903</t>
  </si>
  <si>
    <t>[Kiến Trúc &amp; Schema] Cơ chế khóa ghế chống tranh chấp giữa 2 đại biểu (Anti-seat-conflict)</t>
  </si>
  <si>
    <t>Phân tích yêu cầu nghiệp vụ, thiết kế bảng dữ liệu CSDL PostgreSQL, đặc tả API RESTful và luồng nghiệp vụ chi tiết cho: Khóa vị trí ghế ngay khi thư ký chọn, ngăn chặn gán trùng ghế trong mọi trường hợp</t>
  </si>
  <si>
    <t>/events/:id/seat-lock</t>
  </si>
  <si>
    <t>Pessimistic Seat Locking</t>
  </si>
  <si>
    <t>WBS-EVENT_SEAT-0904</t>
  </si>
  <si>
    <t>[Kiến Trúc &amp; Schema] Sinh mã vé QR Check-in độc bản tích hợp chữ ký số chống làm giả</t>
  </si>
  <si>
    <t>Phân tích yêu cầu nghiệp vụ, thiết kế bảng dữ liệu CSDL PostgreSQL, đặc tả API RESTful và luồng nghiệp vụ chi tiết cho: Vé QR chứa ID sự kiện, mã hội viên, số bàn, số ghế, ký số HMAC bảo mật</t>
  </si>
  <si>
    <t>/events/:id/tickets/generate</t>
  </si>
  <si>
    <t>HMAC Signed Ticket QR</t>
  </si>
  <si>
    <t>WBS-EVENT_SEAT-0905</t>
  </si>
  <si>
    <t>[Kiến Trúc &amp; Schema] Camera kiosk quét vé QR tại sảnh hội trường điểm danh dưới 0.5 giây</t>
  </si>
  <si>
    <t>Phân tích yêu cầu nghiệp vụ, thiết kế bảng dữ liệu CSDL PostgreSQL, đặc tả API RESTful và luồng nghiệp vụ chi tiết cho: Điểm danh đại biểu vào cửa, phát âm thanh chào đón, ngăn quét trùng vé đã vào</t>
  </si>
  <si>
    <t>/events/:id/checkin-kiosk</t>
  </si>
  <si>
    <t>Lễ Tân Sảnh</t>
  </si>
  <si>
    <t>Realtime Camera Barcode API</t>
  </si>
  <si>
    <t>WBS-EVENT_SEAT-0906</t>
  </si>
  <si>
    <t>[Kiến Trúc &amp; Schema] Cơ chế Check-in Ngoại tuyến (Offline PWA Sync) khi nghẽn mạng 4G</t>
  </si>
  <si>
    <t>Phân tích yêu cầu nghiệp vụ, thiết kế bảng dữ liệu CSDL PostgreSQL, đặc tả API RESTful và luồng nghiệp vụ chi tiết cho: Đồng bộ trước 500 khách vào LocalStorage/IndexedDB, quét offline và tự sync khi có mạng</t>
  </si>
  <si>
    <t>/events/:id/offline-mode</t>
  </si>
  <si>
    <t>Service Worker Offline Sync</t>
  </si>
  <si>
    <t>WBS-EVENT_SEAT-0907</t>
  </si>
  <si>
    <t>[Kiến Trúc &amp; Schema] Màn hình LED Dashboard hiển thị tỷ lệ đại biểu có mặt thời gian thực</t>
  </si>
  <si>
    <t>Phân tích yêu cầu nghiệp vụ, thiết kế bảng dữ liệu CSDL PostgreSQL, đặc tả API RESTful và luồng nghiệp vụ chi tiết cho: Biểu đồ sĩ số khách vào cửa theo từng phút, danh sách khách VIP đang hiện diện</t>
  </si>
  <si>
    <t>/events/:id/live-dashboard</t>
  </si>
  <si>
    <t>Ban Thường Trực</t>
  </si>
  <si>
    <t>WebSocket Realtime Broadcast</t>
  </si>
  <si>
    <t>WBS-EVENT_SEAT-0908</t>
  </si>
  <si>
    <t>[Kiến Trúc &amp; Schema] Bầu cử số: Cấp mã thẻ cử tri điện tử một chiều (Voter Token)</t>
  </si>
  <si>
    <t>Phân tích yêu cầu nghiệp vụ, thiết kế bảng dữ liệu CSDL PostgreSQL, đặc tả API RESTful và luồng nghiệp vụ chi tiết cho: Kiểm tra điều kiện đóng phí, sinh mã token ngẫu nhiên không gắn trực tiếp với tên</t>
  </si>
  <si>
    <t>/elections/:id/voters</t>
  </si>
  <si>
    <t>Ban Thẩm Tra</t>
  </si>
  <si>
    <t>Anonymized Voter Token</t>
  </si>
  <si>
    <t>WBS-EVENT_SEAT-0909</t>
  </si>
  <si>
    <t>[Kiến Trúc &amp; Schema] Hòm phiếu điện tử bí mật mã hóa băm SHA-256 chống bầu gian lận lần 2</t>
  </si>
  <si>
    <t>Phân tích yêu cầu nghiệp vụ, thiết kế bảng dữ liệu CSDL PostgreSQL, đặc tả API RESTful và luồng nghiệp vụ chi tiết cho: Băm một chiều lá phiếu vào hòm số, đánh dấu cử tri đã bầu (Anti-Double Voting)</t>
  </si>
  <si>
    <t>/elections/:id/ballot-box</t>
  </si>
  <si>
    <t>SHA-256 Cryptographic Ballot</t>
  </si>
  <si>
    <t>WBS-EVENT_SEAT-0910</t>
  </si>
  <si>
    <t>[Kiến Trúc &amp; Schema] Thao tác bỏ phiếu bầu cử điện tử trên Mobile ViOne App (source_app: vione_app)</t>
  </si>
  <si>
    <t>Phân tích yêu cầu nghiệp vụ, thiết kế bảng dữ liệu CSDL PostgreSQL, đặc tả API RESTful và luồng nghiệp vụ chi tiết cho: Bỏ phiếu tiện lợi trên ứng dụng di động, lưu trường source_app chính xác</t>
  </si>
  <si>
    <t>/connect-app/voting</t>
  </si>
  <si>
    <t>Hội Viên Mobile</t>
  </si>
  <si>
    <t>Mobile App Voting Flow</t>
  </si>
  <si>
    <t>WBS-EVENT_SEAT-0911</t>
  </si>
  <si>
    <t>[Kiến Trúc &amp; Schema] Thao tác bỏ phiếu bầu cử trên Cổng Thông Tin Hiệp Hội (source_app: association_app)</t>
  </si>
  <si>
    <t>Phân tích yêu cầu nghiệp vụ, thiết kế bảng dữ liệu CSDL PostgreSQL, đặc tả API RESTful và luồng nghiệp vụ chi tiết cho: Bỏ phiếu trên web portal máy tính, hiển thị tiến độ bỏ phiếu của hiệp hội</t>
  </si>
  <si>
    <t>/association/voting</t>
  </si>
  <si>
    <t>Hội Viên Web</t>
  </si>
  <si>
    <t>Portal App Voting Flow</t>
  </si>
  <si>
    <t>WBS-EVENT_SEAT-0912</t>
  </si>
  <si>
    <t>[Kiến Trúc &amp; Schema] Bỏ phiếu trực tiếp tại bàn kiểm phiếu CRM (source_app: crm)</t>
  </si>
  <si>
    <t>Phân tích yêu cầu nghiệp vụ, thiết kế bảng dữ liệu CSDL PostgreSQL, đặc tả API RESTful và luồng nghiệp vụ chi tiết cho: Thư ký hỗ trợ đại biểu cao niên bỏ phiếu tại hội trường qua CRM</t>
  </si>
  <si>
    <t>/crm/voting</t>
  </si>
  <si>
    <t>Ban Thư Ký CRM</t>
  </si>
  <si>
    <t>CRM Direct Voting Flow</t>
  </si>
  <si>
    <t>WBS-EVENT_SEAT-0913</t>
  </si>
  <si>
    <t>[Kiến Trúc &amp; Schema] Kiểm phiếu tự động trong 1 giây &amp; Biểu đồ thanh tỷ lệ trúng cử trực tiếp</t>
  </si>
  <si>
    <t>Phân tích yêu cầu nghiệp vụ, thiết kế bảng dữ liệu CSDL PostgreSQL, đặc tả API RESTful và luồng nghiệp vụ chi tiết cho: Đến giờ đóng hòm phiếu, hệ thống tự động kiểm phiếu và công bố kết quả minh bạch</t>
  </si>
  <si>
    <t>/elections/:id/results</t>
  </si>
  <si>
    <t>Automated Ballot Tallying</t>
  </si>
  <si>
    <t>WBS-EVENT_SEAT-0914</t>
  </si>
  <si>
    <t>[Kiến Trúc &amp; Schema] Phát sóng thông báo kết thúc bầu cử &amp; kết quả về 3 ứng dụng</t>
  </si>
  <si>
    <t>Phân tích yêu cầu nghiệp vụ, thiết kế bảng dữ liệu CSDL PostgreSQL, đặc tả API RESTful và luồng nghiệp vụ chi tiết cho: Phát socket và push notification kèm huy hiệu chiến thắng 🏆 về CRM, ViOne, Hiệp Hội</t>
  </si>
  <si>
    <t>/elections/:id/broadcast</t>
  </si>
  <si>
    <t>Multi-app Result Broadcast</t>
  </si>
  <si>
    <t>WBS-EVENT_SEAT-0915</t>
  </si>
  <si>
    <t>[Kiến Trúc &amp; Schema] In thẻ đeo đại biểu tự động qua máy in nhiệt kết nối Kiosk sảnh</t>
  </si>
  <si>
    <t>Phân tích yêu cầu nghiệp vụ, thiết kế bảng dữ liệu CSDL PostgreSQL, đặc tả API RESTful và luồng nghiệp vụ chi tiết cho: Ngay khi quét vé hợp lệ, máy in tự nhả thẻ đeo có in tên, công ty và số bàn VIP</t>
  </si>
  <si>
    <t>/events/kiosk/badge-printer</t>
  </si>
  <si>
    <t>Thermal Printer ESC/POS</t>
  </si>
  <si>
    <t>WBS-EVENT_SEAT-0916</t>
  </si>
  <si>
    <t>[Kiến Trúc &amp; Schema] Quản lý danh sách nhà tài trợ sự kiện (Kim Cương, Vàng, Bạc, Đồng)</t>
  </si>
  <si>
    <t>Phân tích yêu cầu nghiệp vụ, thiết kế bảng dữ liệu CSDL PostgreSQL, đặc tả API RESTful và luồng nghiệp vụ chi tiết cho: Hiển thị logo nhà tài trợ trên backdrop, vé mời, màn hình LED và thư cảm ơn</t>
  </si>
  <si>
    <t>/events/:id/sponsors</t>
  </si>
  <si>
    <t>Sponsorship Management</t>
  </si>
  <si>
    <t>WBS-EVENT_SEAT-0917</t>
  </si>
  <si>
    <t>[Kiến Trúc &amp; Schema] Khảo sát đánh giá sự kiện sau khi kết thúc (Post-event Feedback)</t>
  </si>
  <si>
    <t>Phân tích yêu cầu nghiệp vụ, thiết kế bảng dữ liệu CSDL PostgreSQL, đặc tả API RESTful và luồng nghiệp vụ chi tiết cho: Tự động gửi link khảo sát chất lượng dịch vụ và độ hài lòng của đại biểu</t>
  </si>
  <si>
    <t>/events/:id/survey</t>
  </si>
  <si>
    <t>Event Survey Engine</t>
  </si>
  <si>
    <t>WBS-EVENT_SEAT-0918</t>
  </si>
  <si>
    <t>[Kiến Trúc &amp; Schema] Đăng ký tham gia diễn đàn thảo luận bàn tròn trong khuôn khổ đại hội</t>
  </si>
  <si>
    <t>Phân tích yêu cầu nghiệp vụ, thiết kế bảng dữ liệu CSDL PostgreSQL, đặc tả API RESTful và luồng nghiệp vụ chi tiết cho: Đại biểu đăng ký tham gia các phiên chuyên đề: BĐS, Tài chính, AI chuyển đổi số</t>
  </si>
  <si>
    <t>/events/:id/breakout-sessions</t>
  </si>
  <si>
    <t>Breakout Session Booking</t>
  </si>
  <si>
    <t>WBS-EVENT_SEAT-0919</t>
  </si>
  <si>
    <t>[Kiến Trúc &amp; Schema] Xuất biên bản kiểm phiếu bầu cử chính thức có chữ ký số Ban Kiểm Tra</t>
  </si>
  <si>
    <t>Phân tích yêu cầu nghiệp vụ, thiết kế bảng dữ liệu CSDL PostgreSQL, đặc tả API RESTful và luồng nghiệp vụ chi tiết cho: Tạo văn bản PDF biên bản kiểm phiếu đại hội lưu hồ sơ pháp lý Sở Nội Vụ</t>
  </si>
  <si>
    <t>/elections/:id/official-minutes</t>
  </si>
  <si>
    <t>Trưởng Ban Kiểm Tra</t>
  </si>
  <si>
    <t>Legal Minutes PDF Sign</t>
  </si>
  <si>
    <t>WBS-EVENT_SEAT-0920</t>
  </si>
  <si>
    <t>[Kiến Trúc &amp; Schema] Báo cáo tài chính thu chi đại hội và quyết toán tài trợ sự kiện</t>
  </si>
  <si>
    <t>Phân tích yêu cầu nghiệp vụ, thiết kế bảng dữ liệu CSDL PostgreSQL, đặc tả API RESTful và luồng nghiệp vụ chi tiết cho: Đối chiếu tiền bán vé, tiền tài trợ và chi phí tiệc gala, xuất báo cáo tổng kết</t>
  </si>
  <si>
    <t>/events/:id/financial-settlement</t>
  </si>
  <si>
    <t>Event P&amp;L Statement</t>
  </si>
  <si>
    <t>WBS-EVENT_SEAT-0921</t>
  </si>
  <si>
    <t>Sự Kiện Khán Phòng, Bầu Cử &amp; Thẻ Thông Minh [Giai đoạn: Xây Dựng Giao Diện Người Dùng Frontend (Desktop &amp; Mobile)]</t>
  </si>
  <si>
    <t>[Giao Diện Frontend] Thiết lập sự kiện Đại Hội Doanh Nhân &amp; Dạ tiệc Gala quy mô 500 khách</t>
  </si>
  <si>
    <t>Phát triển giao diện React/Tailwind, tối ưu hóa responsive di động, xử lý trạng thái loading/error/empty state: Khai báo tên sự kiện, thời gian, địa điểm Keangnam Landmark 72, sơ đồ khán phòng</t>
  </si>
  <si>
    <t>WBS-EVENT_SEAT-0922</t>
  </si>
  <si>
    <t>[Giao Diện Frontend] Cấu hình Sơ đồ Bàn tiệc VIP &amp; Ghế ngồi Grand Ballroom 25 bàn tròn</t>
  </si>
  <si>
    <t>Phát triển giao diện React/Tailwind, tối ưu hóa responsive di động, xử lý trạng thái loading/error/empty state: Phân chia Bàn VIP-01 (Chủ tịch), Bàn Nhà tài trợ Kim Cương, Bàn Hội đồng</t>
  </si>
  <si>
    <t>WBS-EVENT_SEAT-0923</t>
  </si>
  <si>
    <t>[Giao Diện Frontend] Cơ chế khóa ghế chống tranh chấp giữa 2 đại biểu (Anti-seat-conflict)</t>
  </si>
  <si>
    <t>Phát triển giao diện React/Tailwind, tối ưu hóa responsive di động, xử lý trạng thái loading/error/empty state: Khóa vị trí ghế ngay khi thư ký chọn, ngăn chặn gán trùng ghế trong mọi trường hợp</t>
  </si>
  <si>
    <t>WBS-EVENT_SEAT-0924</t>
  </si>
  <si>
    <t>[Giao Diện Frontend] Sinh mã vé QR Check-in độc bản tích hợp chữ ký số chống làm giả</t>
  </si>
  <si>
    <t>Phát triển giao diện React/Tailwind, tối ưu hóa responsive di động, xử lý trạng thái loading/error/empty state: Vé QR chứa ID sự kiện, mã hội viên, số bàn, số ghế, ký số HMAC bảo mật</t>
  </si>
  <si>
    <t>WBS-EVENT_SEAT-0925</t>
  </si>
  <si>
    <t>[Giao Diện Frontend] Camera kiosk quét vé QR tại sảnh hội trường điểm danh dưới 0.5 giây</t>
  </si>
  <si>
    <t>Phát triển giao diện React/Tailwind, tối ưu hóa responsive di động, xử lý trạng thái loading/error/empty state: Điểm danh đại biểu vào cửa, phát âm thanh chào đón, ngăn quét trùng vé đã vào</t>
  </si>
  <si>
    <t>WBS-EVENT_SEAT-0926</t>
  </si>
  <si>
    <t>[Giao Diện Frontend] Cơ chế Check-in Ngoại tuyến (Offline PWA Sync) khi nghẽn mạng 4G</t>
  </si>
  <si>
    <t>Phát triển giao diện React/Tailwind, tối ưu hóa responsive di động, xử lý trạng thái loading/error/empty state: Đồng bộ trước 500 khách vào LocalStorage/IndexedDB, quét offline và tự sync khi có mạng</t>
  </si>
  <si>
    <t>WBS-EVENT_SEAT-0927</t>
  </si>
  <si>
    <t>[Giao Diện Frontend] Màn hình LED Dashboard hiển thị tỷ lệ đại biểu có mặt thời gian thực</t>
  </si>
  <si>
    <t>Phát triển giao diện React/Tailwind, tối ưu hóa responsive di động, xử lý trạng thái loading/error/empty state: Biểu đồ sĩ số khách vào cửa theo từng phút, danh sách khách VIP đang hiện diện</t>
  </si>
  <si>
    <t>WBS-EVENT_SEAT-0928</t>
  </si>
  <si>
    <t>[Giao Diện Frontend] Bầu cử số: Cấp mã thẻ cử tri điện tử một chiều (Voter Token)</t>
  </si>
  <si>
    <t>Phát triển giao diện React/Tailwind, tối ưu hóa responsive di động, xử lý trạng thái loading/error/empty state: Kiểm tra điều kiện đóng phí, sinh mã token ngẫu nhiên không gắn trực tiếp với tên</t>
  </si>
  <si>
    <t>WBS-EVENT_SEAT-0929</t>
  </si>
  <si>
    <t>[Giao Diện Frontend] Hòm phiếu điện tử bí mật mã hóa băm SHA-256 chống bầu gian lận lần 2</t>
  </si>
  <si>
    <t>Phát triển giao diện React/Tailwind, tối ưu hóa responsive di động, xử lý trạng thái loading/error/empty state: Băm một chiều lá phiếu vào hòm số, đánh dấu cử tri đã bầu (Anti-Double Voting)</t>
  </si>
  <si>
    <t>WBS-EVENT_SEAT-0930</t>
  </si>
  <si>
    <t>[Giao Diện Frontend] Thao tác bỏ phiếu bầu cử điện tử trên Mobile ViOne App (source_app: vione_app)</t>
  </si>
  <si>
    <t>Phát triển giao diện React/Tailwind, tối ưu hóa responsive di động, xử lý trạng thái loading/error/empty state: Bỏ phiếu tiện lợi trên ứng dụng di động, lưu trường source_app chính xác</t>
  </si>
  <si>
    <t>WBS-EVENT_SEAT-0931</t>
  </si>
  <si>
    <t>[Giao Diện Frontend] Thao tác bỏ phiếu bầu cử trên Cổng Thông Tin Hiệp Hội (source_app: association_app)</t>
  </si>
  <si>
    <t>Phát triển giao diện React/Tailwind, tối ưu hóa responsive di động, xử lý trạng thái loading/error/empty state: Bỏ phiếu trên web portal máy tính, hiển thị tiến độ bỏ phiếu của hiệp hội</t>
  </si>
  <si>
    <t>WBS-EVENT_SEAT-0932</t>
  </si>
  <si>
    <t>[Giao Diện Frontend] Bỏ phiếu trực tiếp tại bàn kiểm phiếu CRM (source_app: crm)</t>
  </si>
  <si>
    <t>Phát triển giao diện React/Tailwind, tối ưu hóa responsive di động, xử lý trạng thái loading/error/empty state: Thư ký hỗ trợ đại biểu cao niên bỏ phiếu tại hội trường qua CRM</t>
  </si>
  <si>
    <t>WBS-EVENT_SEAT-0933</t>
  </si>
  <si>
    <t>[Giao Diện Frontend] Kiểm phiếu tự động trong 1 giây &amp; Biểu đồ thanh tỷ lệ trúng cử trực tiếp</t>
  </si>
  <si>
    <t>Phát triển giao diện React/Tailwind, tối ưu hóa responsive di động, xử lý trạng thái loading/error/empty state: Đến giờ đóng hòm phiếu, hệ thống tự động kiểm phiếu và công bố kết quả minh bạch</t>
  </si>
  <si>
    <t>WBS-EVENT_SEAT-0934</t>
  </si>
  <si>
    <t>[Giao Diện Frontend] Phát sóng thông báo kết thúc bầu cử &amp; kết quả về 3 ứng dụng</t>
  </si>
  <si>
    <t>Phát triển giao diện React/Tailwind, tối ưu hóa responsive di động, xử lý trạng thái loading/error/empty state: Phát socket và push notification kèm huy hiệu chiến thắng 🏆 về CRM, ViOne, Hiệp Hội</t>
  </si>
  <si>
    <t>WBS-EVENT_SEAT-0935</t>
  </si>
  <si>
    <t>[Giao Diện Frontend] In thẻ đeo đại biểu tự động qua máy in nhiệt kết nối Kiosk sảnh</t>
  </si>
  <si>
    <t>Phát triển giao diện React/Tailwind, tối ưu hóa responsive di động, xử lý trạng thái loading/error/empty state: Ngay khi quét vé hợp lệ, máy in tự nhả thẻ đeo có in tên, công ty và số bàn VIP</t>
  </si>
  <si>
    <t>WBS-EVENT_SEAT-0936</t>
  </si>
  <si>
    <t>[Giao Diện Frontend] Quản lý danh sách nhà tài trợ sự kiện (Kim Cương, Vàng, Bạc, Đồng)</t>
  </si>
  <si>
    <t>Phát triển giao diện React/Tailwind, tối ưu hóa responsive di động, xử lý trạng thái loading/error/empty state: Hiển thị logo nhà tài trợ trên backdrop, vé mời, màn hình LED và thư cảm ơn</t>
  </si>
  <si>
    <t>WBS-EVENT_SEAT-0937</t>
  </si>
  <si>
    <t>[Giao Diện Frontend] Khảo sát đánh giá sự kiện sau khi kết thúc (Post-event Feedback)</t>
  </si>
  <si>
    <t>Phát triển giao diện React/Tailwind, tối ưu hóa responsive di động, xử lý trạng thái loading/error/empty state: Tự động gửi link khảo sát chất lượng dịch vụ và độ hài lòng của đại biểu</t>
  </si>
  <si>
    <t>WBS-EVENT_SEAT-0938</t>
  </si>
  <si>
    <t>[Giao Diện Frontend] Đăng ký tham gia diễn đàn thảo luận bàn tròn trong khuôn khổ đại hội</t>
  </si>
  <si>
    <t>Phát triển giao diện React/Tailwind, tối ưu hóa responsive di động, xử lý trạng thái loading/error/empty state: Đại biểu đăng ký tham gia các phiên chuyên đề: BĐS, Tài chính, AI chuyển đổi số</t>
  </si>
  <si>
    <t>WBS-EVENT_SEAT-0939</t>
  </si>
  <si>
    <t>[Giao Diện Frontend] Xuất biên bản kiểm phiếu bầu cử chính thức có chữ ký số Ban Kiểm Tra</t>
  </si>
  <si>
    <t>Phát triển giao diện React/Tailwind, tối ưu hóa responsive di động, xử lý trạng thái loading/error/empty state: Tạo văn bản PDF biên bản kiểm phiếu đại hội lưu hồ sơ pháp lý Sở Nội Vụ</t>
  </si>
  <si>
    <t>WBS-EVENT_SEAT-0940</t>
  </si>
  <si>
    <t>[Giao Diện Frontend] Báo cáo tài chính thu chi đại hội và quyết toán tài trợ sự kiện</t>
  </si>
  <si>
    <t>Phát triển giao diện React/Tailwind, tối ưu hóa responsive di động, xử lý trạng thái loading/error/empty state: Đối chiếu tiền bán vé, tiền tài trợ và chi phí tiệc gala, xuất báo cáo tổng kết</t>
  </si>
  <si>
    <t>WBS-EVENT_SEAT-0941</t>
  </si>
  <si>
    <t>Sự Kiện Khán Phòng, Bầu Cử &amp; Thẻ Thông Minh [Giai đoạn: Xử Lý Logic Nghiệp Vụ Backend API &amp; Cơ Sở Dữ Liệu CSDL]</t>
  </si>
  <si>
    <t>[Logic Backend CSDL] Thiết lập sự kiện Đại Hội Doanh Nhân &amp; Dạ tiệc Gala quy mô 500 khách</t>
  </si>
  <si>
    <t>Xây dựng NestJS Controller, Service, Prisma ORM, kiểm tra ràng buộc dữ liệu DTO và xử lý Transaction ACID: Khai báo tên sự kiện, thời gian, địa điểm Keangnam Landmark 72, sơ đồ khán phòng</t>
  </si>
  <si>
    <t>WBS-EVENT_SEAT-0942</t>
  </si>
  <si>
    <t>[Logic Backend CSDL] Cấu hình Sơ đồ Bàn tiệc VIP &amp; Ghế ngồi Grand Ballroom 25 bàn tròn</t>
  </si>
  <si>
    <t>Xây dựng NestJS Controller, Service, Prisma ORM, kiểm tra ràng buộc dữ liệu DTO và xử lý Transaction ACID: Phân chia Bàn VIP-01 (Chủ tịch), Bàn Nhà tài trợ Kim Cương, Bàn Hội đồng</t>
  </si>
  <si>
    <t>WBS-EVENT_SEAT-0943</t>
  </si>
  <si>
    <t>[Logic Backend CSDL] Cơ chế khóa ghế chống tranh chấp giữa 2 đại biểu (Anti-seat-conflict)</t>
  </si>
  <si>
    <t>Xây dựng NestJS Controller, Service, Prisma ORM, kiểm tra ràng buộc dữ liệu DTO và xử lý Transaction ACID: Khóa vị trí ghế ngay khi thư ký chọn, ngăn chặn gán trùng ghế trong mọi trường hợp</t>
  </si>
  <si>
    <t>WBS-EVENT_SEAT-0944</t>
  </si>
  <si>
    <t>[Logic Backend CSDL] Sinh mã vé QR Check-in độc bản tích hợp chữ ký số chống làm giả</t>
  </si>
  <si>
    <t>Xây dựng NestJS Controller, Service, Prisma ORM, kiểm tra ràng buộc dữ liệu DTO và xử lý Transaction ACID: Vé QR chứa ID sự kiện, mã hội viên, số bàn, số ghế, ký số HMAC bảo mật</t>
  </si>
  <si>
    <t>WBS-EVENT_SEAT-0945</t>
  </si>
  <si>
    <t>[Logic Backend CSDL] Camera kiosk quét vé QR tại sảnh hội trường điểm danh dưới 0.5 giây</t>
  </si>
  <si>
    <t>Xây dựng NestJS Controller, Service, Prisma ORM, kiểm tra ràng buộc dữ liệu DTO và xử lý Transaction ACID: Điểm danh đại biểu vào cửa, phát âm thanh chào đón, ngăn quét trùng vé đã vào</t>
  </si>
  <si>
    <t>WBS-EVENT_SEAT-0946</t>
  </si>
  <si>
    <t>[Logic Backend CSDL] Cơ chế Check-in Ngoại tuyến (Offline PWA Sync) khi nghẽn mạng 4G</t>
  </si>
  <si>
    <t>Xây dựng NestJS Controller, Service, Prisma ORM, kiểm tra ràng buộc dữ liệu DTO và xử lý Transaction ACID: Đồng bộ trước 500 khách vào LocalStorage/IndexedDB, quét offline và tự sync khi có mạng</t>
  </si>
  <si>
    <t>WBS-EVENT_SEAT-0947</t>
  </si>
  <si>
    <t>[Logic Backend CSDL] Màn hình LED Dashboard hiển thị tỷ lệ đại biểu có mặt thời gian thực</t>
  </si>
  <si>
    <t>Xây dựng NestJS Controller, Service, Prisma ORM, kiểm tra ràng buộc dữ liệu DTO và xử lý Transaction ACID: Biểu đồ sĩ số khách vào cửa theo từng phút, danh sách khách VIP đang hiện diện</t>
  </si>
  <si>
    <t>WBS-EVENT_SEAT-0948</t>
  </si>
  <si>
    <t>[Logic Backend CSDL] Bầu cử số: Cấp mã thẻ cử tri điện tử một chiều (Voter Token)</t>
  </si>
  <si>
    <t>Xây dựng NestJS Controller, Service, Prisma ORM, kiểm tra ràng buộc dữ liệu DTO và xử lý Transaction ACID: Kiểm tra điều kiện đóng phí, sinh mã token ngẫu nhiên không gắn trực tiếp với tên</t>
  </si>
  <si>
    <t>WBS-EVENT_SEAT-0949</t>
  </si>
  <si>
    <t>[Logic Backend CSDL] Hòm phiếu điện tử bí mật mã hóa băm SHA-256 chống bầu gian lận lần 2</t>
  </si>
  <si>
    <t>Xây dựng NestJS Controller, Service, Prisma ORM, kiểm tra ràng buộc dữ liệu DTO và xử lý Transaction ACID: Băm một chiều lá phiếu vào hòm số, đánh dấu cử tri đã bầu (Anti-Double Voting)</t>
  </si>
  <si>
    <t>WBS-EVENT_SEAT-0950</t>
  </si>
  <si>
    <t>[Logic Backend CSDL] Thao tác bỏ phiếu bầu cử điện tử trên Mobile ViOne App (source_app: vione_app)</t>
  </si>
  <si>
    <t>Xây dựng NestJS Controller, Service, Prisma ORM, kiểm tra ràng buộc dữ liệu DTO và xử lý Transaction ACID: Bỏ phiếu tiện lợi trên ứng dụng di động, lưu trường source_app chính xác</t>
  </si>
  <si>
    <t>WBS-EVENT_SEAT-0951</t>
  </si>
  <si>
    <t>[Logic Backend CSDL] Thao tác bỏ phiếu bầu cử trên Cổng Thông Tin Hiệp Hội (source_app: association_app)</t>
  </si>
  <si>
    <t>Xây dựng NestJS Controller, Service, Prisma ORM, kiểm tra ràng buộc dữ liệu DTO và xử lý Transaction ACID: Bỏ phiếu trên web portal máy tính, hiển thị tiến độ bỏ phiếu của hiệp hội</t>
  </si>
  <si>
    <t>WBS-EVENT_SEAT-0952</t>
  </si>
  <si>
    <t>[Logic Backend CSDL] Bỏ phiếu trực tiếp tại bàn kiểm phiếu CRM (source_app: crm)</t>
  </si>
  <si>
    <t>Xây dựng NestJS Controller, Service, Prisma ORM, kiểm tra ràng buộc dữ liệu DTO và xử lý Transaction ACID: Thư ký hỗ trợ đại biểu cao niên bỏ phiếu tại hội trường qua CRM</t>
  </si>
  <si>
    <t>WBS-EVENT_SEAT-0953</t>
  </si>
  <si>
    <t>[Logic Backend CSDL] Kiểm phiếu tự động trong 1 giây &amp; Biểu đồ thanh tỷ lệ trúng cử trực tiếp</t>
  </si>
  <si>
    <t>Xây dựng NestJS Controller, Service, Prisma ORM, kiểm tra ràng buộc dữ liệu DTO và xử lý Transaction ACID: Đến giờ đóng hòm phiếu, hệ thống tự động kiểm phiếu và công bố kết quả minh bạch</t>
  </si>
  <si>
    <t>WBS-EVENT_SEAT-0954</t>
  </si>
  <si>
    <t>[Logic Backend CSDL] Phát sóng thông báo kết thúc bầu cử &amp; kết quả về 3 ứng dụng</t>
  </si>
  <si>
    <t>Xây dựng NestJS Controller, Service, Prisma ORM, kiểm tra ràng buộc dữ liệu DTO và xử lý Transaction ACID: Phát socket và push notification kèm huy hiệu chiến thắng 🏆 về CRM, ViOne, Hiệp Hội</t>
  </si>
  <si>
    <t>WBS-EVENT_SEAT-0955</t>
  </si>
  <si>
    <t>[Logic Backend CSDL] In thẻ đeo đại biểu tự động qua máy in nhiệt kết nối Kiosk sảnh</t>
  </si>
  <si>
    <t>Xây dựng NestJS Controller, Service, Prisma ORM, kiểm tra ràng buộc dữ liệu DTO và xử lý Transaction ACID: Ngay khi quét vé hợp lệ, máy in tự nhả thẻ đeo có in tên, công ty và số bàn VIP</t>
  </si>
  <si>
    <t>WBS-EVENT_SEAT-0956</t>
  </si>
  <si>
    <t>[Logic Backend CSDL] Quản lý danh sách nhà tài trợ sự kiện (Kim Cương, Vàng, Bạc, Đồng)</t>
  </si>
  <si>
    <t>Xây dựng NestJS Controller, Service, Prisma ORM, kiểm tra ràng buộc dữ liệu DTO và xử lý Transaction ACID: Hiển thị logo nhà tài trợ trên backdrop, vé mời, màn hình LED và thư cảm ơn</t>
  </si>
  <si>
    <t>WBS-EVENT_SEAT-0957</t>
  </si>
  <si>
    <t>[Logic Backend CSDL] Khảo sát đánh giá sự kiện sau khi kết thúc (Post-event Feedback)</t>
  </si>
  <si>
    <t>Xây dựng NestJS Controller, Service, Prisma ORM, kiểm tra ràng buộc dữ liệu DTO và xử lý Transaction ACID: Tự động gửi link khảo sát chất lượng dịch vụ và độ hài lòng của đại biểu</t>
  </si>
  <si>
    <t>WBS-EVENT_SEAT-0958</t>
  </si>
  <si>
    <t>[Logic Backend CSDL] Đăng ký tham gia diễn đàn thảo luận bàn tròn trong khuôn khổ đại hội</t>
  </si>
  <si>
    <t>Xây dựng NestJS Controller, Service, Prisma ORM, kiểm tra ràng buộc dữ liệu DTO và xử lý Transaction ACID: Đại biểu đăng ký tham gia các phiên chuyên đề: BĐS, Tài chính, AI chuyển đổi số</t>
  </si>
  <si>
    <t>WBS-EVENT_SEAT-0959</t>
  </si>
  <si>
    <t>[Logic Backend CSDL] Xuất biên bản kiểm phiếu bầu cử chính thức có chữ ký số Ban Kiểm Tra</t>
  </si>
  <si>
    <t>Xây dựng NestJS Controller, Service, Prisma ORM, kiểm tra ràng buộc dữ liệu DTO và xử lý Transaction ACID: Tạo văn bản PDF biên bản kiểm phiếu đại hội lưu hồ sơ pháp lý Sở Nội Vụ</t>
  </si>
  <si>
    <t>WBS-EVENT_SEAT-0960</t>
  </si>
  <si>
    <t>[Logic Backend CSDL] Báo cáo tài chính thu chi đại hội và quyết toán tài trợ sự kiện</t>
  </si>
  <si>
    <t>Xây dựng NestJS Controller, Service, Prisma ORM, kiểm tra ràng buộc dữ liệu DTO và xử lý Transaction ACID: Đối chiếu tiền bán vé, tiền tài trợ và chi phí tiệc gala, xuất báo cáo tổng kết</t>
  </si>
  <si>
    <t>WBS-EVENT_SEAT-0961</t>
  </si>
  <si>
    <t>Sự Kiện Khán Phòng, Bầu Cử &amp; Thẻ Thông Minh [Giai đoạn: Tích Hợp Realtime, Hàng Đợi Worker &amp; Bảo Mật Granular RBAC]</t>
  </si>
  <si>
    <t>[Tích Hợp &amp; Bảo Mật] Thiết lập sự kiện Đại Hội Doanh Nhân &amp; Dạ tiệc Gala quy mô 500 khách</t>
  </si>
  <si>
    <t>Tích hợp phân quyền Granular RBAC, bảo vệ chống XSS/SQLi, caching Redis và cơ chế realtime/worker: Khai báo tên sự kiện, thời gian, địa điểm Keangnam Landmark 72, sơ đồ khán phòng</t>
  </si>
  <si>
    <t>WBS-EVENT_SEAT-0962</t>
  </si>
  <si>
    <t>[Tích Hợp &amp; Bảo Mật] Cấu hình Sơ đồ Bàn tiệc VIP &amp; Ghế ngồi Grand Ballroom 25 bàn tròn</t>
  </si>
  <si>
    <t>Tích hợp phân quyền Granular RBAC, bảo vệ chống XSS/SQLi, caching Redis và cơ chế realtime/worker: Phân chia Bàn VIP-01 (Chủ tịch), Bàn Nhà tài trợ Kim Cương, Bàn Hội đồng</t>
  </si>
  <si>
    <t>WBS-EVENT_SEAT-0963</t>
  </si>
  <si>
    <t>[Tích Hợp &amp; Bảo Mật] Cơ chế khóa ghế chống tranh chấp giữa 2 đại biểu (Anti-seat-conflict)</t>
  </si>
  <si>
    <t>Tích hợp phân quyền Granular RBAC, bảo vệ chống XSS/SQLi, caching Redis và cơ chế realtime/worker: Khóa vị trí ghế ngay khi thư ký chọn, ngăn chặn gán trùng ghế trong mọi trường hợp</t>
  </si>
  <si>
    <t>WBS-EVENT_SEAT-0964</t>
  </si>
  <si>
    <t>[Tích Hợp &amp; Bảo Mật] Sinh mã vé QR Check-in độc bản tích hợp chữ ký số chống làm giả</t>
  </si>
  <si>
    <t>Tích hợp phân quyền Granular RBAC, bảo vệ chống XSS/SQLi, caching Redis và cơ chế realtime/worker: Vé QR chứa ID sự kiện, mã hội viên, số bàn, số ghế, ký số HMAC bảo mật</t>
  </si>
  <si>
    <t>WBS-EVENT_SEAT-0965</t>
  </si>
  <si>
    <t>[Tích Hợp &amp; Bảo Mật] Camera kiosk quét vé QR tại sảnh hội trường điểm danh dưới 0.5 giây</t>
  </si>
  <si>
    <t>Tích hợp phân quyền Granular RBAC, bảo vệ chống XSS/SQLi, caching Redis và cơ chế realtime/worker: Điểm danh đại biểu vào cửa, phát âm thanh chào đón, ngăn quét trùng vé đã vào</t>
  </si>
  <si>
    <t>WBS-EVENT_SEAT-0966</t>
  </si>
  <si>
    <t>[Tích Hợp &amp; Bảo Mật] Cơ chế Check-in Ngoại tuyến (Offline PWA Sync) khi nghẽn mạng 4G</t>
  </si>
  <si>
    <t>Tích hợp phân quyền Granular RBAC, bảo vệ chống XSS/SQLi, caching Redis và cơ chế realtime/worker: Đồng bộ trước 500 khách vào LocalStorage/IndexedDB, quét offline và tự sync khi có mạng</t>
  </si>
  <si>
    <t>WBS-EVENT_SEAT-0967</t>
  </si>
  <si>
    <t>[Tích Hợp &amp; Bảo Mật] Màn hình LED Dashboard hiển thị tỷ lệ đại biểu có mặt thời gian thực</t>
  </si>
  <si>
    <t>Tích hợp phân quyền Granular RBAC, bảo vệ chống XSS/SQLi, caching Redis và cơ chế realtime/worker: Biểu đồ sĩ số khách vào cửa theo từng phút, danh sách khách VIP đang hiện diện</t>
  </si>
  <si>
    <t>WBS-EVENT_SEAT-0968</t>
  </si>
  <si>
    <t>[Tích Hợp &amp; Bảo Mật] Bầu cử số: Cấp mã thẻ cử tri điện tử một chiều (Voter Token)</t>
  </si>
  <si>
    <t>Tích hợp phân quyền Granular RBAC, bảo vệ chống XSS/SQLi, caching Redis và cơ chế realtime/worker: Kiểm tra điều kiện đóng phí, sinh mã token ngẫu nhiên không gắn trực tiếp với tên</t>
  </si>
  <si>
    <t>WBS-EVENT_SEAT-0969</t>
  </si>
  <si>
    <t>[Tích Hợp &amp; Bảo Mật] Hòm phiếu điện tử bí mật mã hóa băm SHA-256 chống bầu gian lận lần 2</t>
  </si>
  <si>
    <t>Tích hợp phân quyền Granular RBAC, bảo vệ chống XSS/SQLi, caching Redis và cơ chế realtime/worker: Băm một chiều lá phiếu vào hòm số, đánh dấu cử tri đã bầu (Anti-Double Voting)</t>
  </si>
  <si>
    <t>WBS-EVENT_SEAT-0970</t>
  </si>
  <si>
    <t>[Tích Hợp &amp; Bảo Mật] Thao tác bỏ phiếu bầu cử điện tử trên Mobile ViOne App (source_app: vione_app)</t>
  </si>
  <si>
    <t>Tích hợp phân quyền Granular RBAC, bảo vệ chống XSS/SQLi, caching Redis và cơ chế realtime/worker: Bỏ phiếu tiện lợi trên ứng dụng di động, lưu trường source_app chính xác</t>
  </si>
  <si>
    <t>WBS-EVENT_SEAT-0971</t>
  </si>
  <si>
    <t>[Tích Hợp &amp; Bảo Mật] Thao tác bỏ phiếu bầu cử trên Cổng Thông Tin Hiệp Hội (source_app: association_app)</t>
  </si>
  <si>
    <t>Tích hợp phân quyền Granular RBAC, bảo vệ chống XSS/SQLi, caching Redis và cơ chế realtime/worker: Bỏ phiếu trên web portal máy tính, hiển thị tiến độ bỏ phiếu của hiệp hội</t>
  </si>
  <si>
    <t>WBS-EVENT_SEAT-0972</t>
  </si>
  <si>
    <t>[Tích Hợp &amp; Bảo Mật] Bỏ phiếu trực tiếp tại bàn kiểm phiếu CRM (source_app: crm)</t>
  </si>
  <si>
    <t>Tích hợp phân quyền Granular RBAC, bảo vệ chống XSS/SQLi, caching Redis và cơ chế realtime/worker: Thư ký hỗ trợ đại biểu cao niên bỏ phiếu tại hội trường qua CRM</t>
  </si>
  <si>
    <t>WBS-EVENT_SEAT-0973</t>
  </si>
  <si>
    <t>[Tích Hợp &amp; Bảo Mật] Kiểm phiếu tự động trong 1 giây &amp; Biểu đồ thanh tỷ lệ trúng cử trực tiếp</t>
  </si>
  <si>
    <t>Tích hợp phân quyền Granular RBAC, bảo vệ chống XSS/SQLi, caching Redis và cơ chế realtime/worker: Đến giờ đóng hòm phiếu, hệ thống tự động kiểm phiếu và công bố kết quả minh bạch</t>
  </si>
  <si>
    <t>WBS-EVENT_SEAT-0974</t>
  </si>
  <si>
    <t>[Tích Hợp &amp; Bảo Mật] Phát sóng thông báo kết thúc bầu cử &amp; kết quả về 3 ứng dụng</t>
  </si>
  <si>
    <t>Tích hợp phân quyền Granular RBAC, bảo vệ chống XSS/SQLi, caching Redis và cơ chế realtime/worker: Phát socket và push notification kèm huy hiệu chiến thắng 🏆 về CRM, ViOne, Hiệp Hội</t>
  </si>
  <si>
    <t>WBS-EVENT_SEAT-0975</t>
  </si>
  <si>
    <t>[Tích Hợp &amp; Bảo Mật] In thẻ đeo đại biểu tự động qua máy in nhiệt kết nối Kiosk sảnh</t>
  </si>
  <si>
    <t>Tích hợp phân quyền Granular RBAC, bảo vệ chống XSS/SQLi, caching Redis và cơ chế realtime/worker: Ngay khi quét vé hợp lệ, máy in tự nhả thẻ đeo có in tên, công ty và số bàn VIP</t>
  </si>
  <si>
    <t>WBS-EVENT_SEAT-0976</t>
  </si>
  <si>
    <t>[Tích Hợp &amp; Bảo Mật] Quản lý danh sách nhà tài trợ sự kiện (Kim Cương, Vàng, Bạc, Đồng)</t>
  </si>
  <si>
    <t>Tích hợp phân quyền Granular RBAC, bảo vệ chống XSS/SQLi, caching Redis và cơ chế realtime/worker: Hiển thị logo nhà tài trợ trên backdrop, vé mời, màn hình LED và thư cảm ơn</t>
  </si>
  <si>
    <t>WBS-EVENT_SEAT-0977</t>
  </si>
  <si>
    <t>[Tích Hợp &amp; Bảo Mật] Khảo sát đánh giá sự kiện sau khi kết thúc (Post-event Feedback)</t>
  </si>
  <si>
    <t>Tích hợp phân quyền Granular RBAC, bảo vệ chống XSS/SQLi, caching Redis và cơ chế realtime/worker: Tự động gửi link khảo sát chất lượng dịch vụ và độ hài lòng của đại biểu</t>
  </si>
  <si>
    <t>WBS-EVENT_SEAT-0978</t>
  </si>
  <si>
    <t>[Tích Hợp &amp; Bảo Mật] Đăng ký tham gia diễn đàn thảo luận bàn tròn trong khuôn khổ đại hội</t>
  </si>
  <si>
    <t>Tích hợp phân quyền Granular RBAC, bảo vệ chống XSS/SQLi, caching Redis và cơ chế realtime/worker: Đại biểu đăng ký tham gia các phiên chuyên đề: BĐS, Tài chính, AI chuyển đổi số</t>
  </si>
  <si>
    <t>WBS-EVENT_SEAT-0979</t>
  </si>
  <si>
    <t>[Tích Hợp &amp; Bảo Mật] Xuất biên bản kiểm phiếu bầu cử chính thức có chữ ký số Ban Kiểm Tra</t>
  </si>
  <si>
    <t>Tích hợp phân quyền Granular RBAC, bảo vệ chống XSS/SQLi, caching Redis và cơ chế realtime/worker: Tạo văn bản PDF biên bản kiểm phiếu đại hội lưu hồ sơ pháp lý Sở Nội Vụ</t>
  </si>
  <si>
    <t>WBS-EVENT_SEAT-0980</t>
  </si>
  <si>
    <t>[Tích Hợp &amp; Bảo Mật] Báo cáo tài chính thu chi đại hội và quyết toán tài trợ sự kiện</t>
  </si>
  <si>
    <t>Tích hợp phân quyền Granular RBAC, bảo vệ chống XSS/SQLi, caching Redis và cơ chế realtime/worker: Đối chiếu tiền bán vé, tiền tài trợ và chi phí tiệc gala, xuất báo cáo tổng kết</t>
  </si>
  <si>
    <t>WBS-EVENT_SEAT-0981</t>
  </si>
  <si>
    <t>Sự Kiện Khán Phòng, Bầu Cử &amp; Thẻ Thông Minh [Giai đoạn: Kiểm Thử Tự Động Toàn Diện E2E, Hiệu Năng &amp; Nghiệm Thu UAT]</t>
  </si>
  <si>
    <t>[Kiểm Thử E2E &amp; UAT] Thiết lập sự kiện Đại Hội Doanh Nhân &amp; Dạ tiệc Gala quy mô 500 khách</t>
  </si>
  <si>
    <t>Kiểm thử hộp đen/hộp trắng toàn diện, kiểm tra tải đồng thời, đối soát dữ liệu và nghiệm thu Ban Lãnh Đạo: Khai báo tên sự kiện, thời gian, địa điểm Keangnam Landmark 72, sơ đồ khán phòng</t>
  </si>
  <si>
    <t>WBS-EVENT_SEAT-0982</t>
  </si>
  <si>
    <t>[Kiểm Thử E2E &amp; UAT] Cấu hình Sơ đồ Bàn tiệc VIP &amp; Ghế ngồi Grand Ballroom 25 bàn tròn</t>
  </si>
  <si>
    <t>Kiểm thử hộp đen/hộp trắng toàn diện, kiểm tra tải đồng thời, đối soát dữ liệu và nghiệm thu Ban Lãnh Đạo: Phân chia Bàn VIP-01 (Chủ tịch), Bàn Nhà tài trợ Kim Cương, Bàn Hội đồng</t>
  </si>
  <si>
    <t>WBS-EVENT_SEAT-0983</t>
  </si>
  <si>
    <t>[Kiểm Thử E2E &amp; UAT] Cơ chế khóa ghế chống tranh chấp giữa 2 đại biểu (Anti-seat-conflict)</t>
  </si>
  <si>
    <t>Kiểm thử hộp đen/hộp trắng toàn diện, kiểm tra tải đồng thời, đối soát dữ liệu và nghiệm thu Ban Lãnh Đạo: Khóa vị trí ghế ngay khi thư ký chọn, ngăn chặn gán trùng ghế trong mọi trường hợp</t>
  </si>
  <si>
    <t>WBS-EVENT_SEAT-0984</t>
  </si>
  <si>
    <t>[Kiểm Thử E2E &amp; UAT] Sinh mã vé QR Check-in độc bản tích hợp chữ ký số chống làm giả</t>
  </si>
  <si>
    <t>Kiểm thử hộp đen/hộp trắng toàn diện, kiểm tra tải đồng thời, đối soát dữ liệu và nghiệm thu Ban Lãnh Đạo: Vé QR chứa ID sự kiện, mã hội viên, số bàn, số ghế, ký số HMAC bảo mật</t>
  </si>
  <si>
    <t>WBS-EVENT_SEAT-0985</t>
  </si>
  <si>
    <t>[Kiểm Thử E2E &amp; UAT] Camera kiosk quét vé QR tại sảnh hội trường điểm danh dưới 0.5 giây</t>
  </si>
  <si>
    <t>Kiểm thử hộp đen/hộp trắng toàn diện, kiểm tra tải đồng thời, đối soát dữ liệu và nghiệm thu Ban Lãnh Đạo: Điểm danh đại biểu vào cửa, phát âm thanh chào đón, ngăn quét trùng vé đã vào</t>
  </si>
  <si>
    <t>WBS-EVENT_SEAT-0986</t>
  </si>
  <si>
    <t>[Kiểm Thử E2E &amp; UAT] Cơ chế Check-in Ngoại tuyến (Offline PWA Sync) khi nghẽn mạng 4G</t>
  </si>
  <si>
    <t>Kiểm thử hộp đen/hộp trắng toàn diện, kiểm tra tải đồng thời, đối soát dữ liệu và nghiệm thu Ban Lãnh Đạo: Đồng bộ trước 500 khách vào LocalStorage/IndexedDB, quét offline và tự sync khi có mạng</t>
  </si>
  <si>
    <t>WBS-EVENT_SEAT-0987</t>
  </si>
  <si>
    <t>[Kiểm Thử E2E &amp; UAT] Màn hình LED Dashboard hiển thị tỷ lệ đại biểu có mặt thời gian thực</t>
  </si>
  <si>
    <t>Kiểm thử hộp đen/hộp trắng toàn diện, kiểm tra tải đồng thời, đối soát dữ liệu và nghiệm thu Ban Lãnh Đạo: Biểu đồ sĩ số khách vào cửa theo từng phút, danh sách khách VIP đang hiện diện</t>
  </si>
  <si>
    <t>WBS-EVENT_SEAT-0988</t>
  </si>
  <si>
    <t>[Kiểm Thử E2E &amp; UAT] Bầu cử số: Cấp mã thẻ cử tri điện tử một chiều (Voter Token)</t>
  </si>
  <si>
    <t>Kiểm thử hộp đen/hộp trắng toàn diện, kiểm tra tải đồng thời, đối soát dữ liệu và nghiệm thu Ban Lãnh Đạo: Kiểm tra điều kiện đóng phí, sinh mã token ngẫu nhiên không gắn trực tiếp với tên</t>
  </si>
  <si>
    <t>WBS-EVENT_SEAT-0989</t>
  </si>
  <si>
    <t>[Kiểm Thử E2E &amp; UAT] Hòm phiếu điện tử bí mật mã hóa băm SHA-256 chống bầu gian lận lần 2</t>
  </si>
  <si>
    <t>Kiểm thử hộp đen/hộp trắng toàn diện, kiểm tra tải đồng thời, đối soát dữ liệu và nghiệm thu Ban Lãnh Đạo: Băm một chiều lá phiếu vào hòm số, đánh dấu cử tri đã bầu (Anti-Double Voting)</t>
  </si>
  <si>
    <t>WBS-EVENT_SEAT-0990</t>
  </si>
  <si>
    <t>[Kiểm Thử E2E &amp; UAT] Thao tác bỏ phiếu bầu cử điện tử trên Mobile ViOne App (source_app: vione_app)</t>
  </si>
  <si>
    <t>Kiểm thử hộp đen/hộp trắng toàn diện, kiểm tra tải đồng thời, đối soát dữ liệu và nghiệm thu Ban Lãnh Đạo: Bỏ phiếu tiện lợi trên ứng dụng di động, lưu trường source_app chính xác</t>
  </si>
  <si>
    <t>WBS-EVENT_SEAT-0991</t>
  </si>
  <si>
    <t>[Kiểm Thử E2E &amp; UAT] Thao tác bỏ phiếu bầu cử trên Cổng Thông Tin Hiệp Hội (source_app: association_app)</t>
  </si>
  <si>
    <t>Kiểm thử hộp đen/hộp trắng toàn diện, kiểm tra tải đồng thời, đối soát dữ liệu và nghiệm thu Ban Lãnh Đạo: Bỏ phiếu trên web portal máy tính, hiển thị tiến độ bỏ phiếu của hiệp hội</t>
  </si>
  <si>
    <t>WBS-EVENT_SEAT-0992</t>
  </si>
  <si>
    <t>[Kiểm Thử E2E &amp; UAT] Bỏ phiếu trực tiếp tại bàn kiểm phiếu CRM (source_app: crm)</t>
  </si>
  <si>
    <t>Kiểm thử hộp đen/hộp trắng toàn diện, kiểm tra tải đồng thời, đối soát dữ liệu và nghiệm thu Ban Lãnh Đạo: Thư ký hỗ trợ đại biểu cao niên bỏ phiếu tại hội trường qua CRM</t>
  </si>
  <si>
    <t>WBS-EVENT_SEAT-0993</t>
  </si>
  <si>
    <t>[Kiểm Thử E2E &amp; UAT] Kiểm phiếu tự động trong 1 giây &amp; Biểu đồ thanh tỷ lệ trúng cử trực tiếp</t>
  </si>
  <si>
    <t>Kiểm thử hộp đen/hộp trắng toàn diện, kiểm tra tải đồng thời, đối soát dữ liệu và nghiệm thu Ban Lãnh Đạo: Đến giờ đóng hòm phiếu, hệ thống tự động kiểm phiếu và công bố kết quả minh bạch</t>
  </si>
  <si>
    <t>WBS-EVENT_SEAT-0994</t>
  </si>
  <si>
    <t>[Kiểm Thử E2E &amp; UAT] Phát sóng thông báo kết thúc bầu cử &amp; kết quả về 3 ứng dụng</t>
  </si>
  <si>
    <t>Kiểm thử hộp đen/hộp trắng toàn diện, kiểm tra tải đồng thời, đối soát dữ liệu và nghiệm thu Ban Lãnh Đạo: Phát socket và push notification kèm huy hiệu chiến thắng 🏆 về CRM, ViOne, Hiệp Hội</t>
  </si>
  <si>
    <t>WBS-EVENT_SEAT-0995</t>
  </si>
  <si>
    <t>[Kiểm Thử E2E &amp; UAT] In thẻ đeo đại biểu tự động qua máy in nhiệt kết nối Kiosk sảnh</t>
  </si>
  <si>
    <t>Kiểm thử hộp đen/hộp trắng toàn diện, kiểm tra tải đồng thời, đối soát dữ liệu và nghiệm thu Ban Lãnh Đạo: Ngay khi quét vé hợp lệ, máy in tự nhả thẻ đeo có in tên, công ty và số bàn VIP</t>
  </si>
  <si>
    <t>WBS-EVENT_SEAT-0996</t>
  </si>
  <si>
    <t>[Kiểm Thử E2E &amp; UAT] Quản lý danh sách nhà tài trợ sự kiện (Kim Cương, Vàng, Bạc, Đồng)</t>
  </si>
  <si>
    <t>Kiểm thử hộp đen/hộp trắng toàn diện, kiểm tra tải đồng thời, đối soát dữ liệu và nghiệm thu Ban Lãnh Đạo: Hiển thị logo nhà tài trợ trên backdrop, vé mời, màn hình LED và thư cảm ơn</t>
  </si>
  <si>
    <t>WBS-EVENT_SEAT-0997</t>
  </si>
  <si>
    <t>[Kiểm Thử E2E &amp; UAT] Khảo sát đánh giá sự kiện sau khi kết thúc (Post-event Feedback)</t>
  </si>
  <si>
    <t>Kiểm thử hộp đen/hộp trắng toàn diện, kiểm tra tải đồng thời, đối soát dữ liệu và nghiệm thu Ban Lãnh Đạo: Tự động gửi link khảo sát chất lượng dịch vụ và độ hài lòng của đại biểu</t>
  </si>
  <si>
    <t>WBS-EVENT_SEAT-0998</t>
  </si>
  <si>
    <t>[Kiểm Thử E2E &amp; UAT] Đăng ký tham gia diễn đàn thảo luận bàn tròn trong khuôn khổ đại hội</t>
  </si>
  <si>
    <t>Kiểm thử hộp đen/hộp trắng toàn diện, kiểm tra tải đồng thời, đối soát dữ liệu và nghiệm thu Ban Lãnh Đạo: Đại biểu đăng ký tham gia các phiên chuyên đề: BĐS, Tài chính, AI chuyển đổi số</t>
  </si>
  <si>
    <t>WBS-EVENT_SEAT-0999</t>
  </si>
  <si>
    <t>[Kiểm Thử E2E &amp; UAT] Xuất biên bản kiểm phiếu bầu cử chính thức có chữ ký số Ban Kiểm Tra</t>
  </si>
  <si>
    <t>Kiểm thử hộp đen/hộp trắng toàn diện, kiểm tra tải đồng thời, đối soát dữ liệu và nghiệm thu Ban Lãnh Đạo: Tạo văn bản PDF biên bản kiểm phiếu đại hội lưu hồ sơ pháp lý Sở Nội Vụ</t>
  </si>
  <si>
    <t>WBS-EVENT_SEAT-1000</t>
  </si>
  <si>
    <t>[Kiểm Thử E2E &amp; UAT] Báo cáo tài chính thu chi đại hội và quyết toán tài trợ sự kiện</t>
  </si>
  <si>
    <t>Kiểm thử hộp đen/hộp trắng toàn diện, kiểm tra tải đồng thời, đối soát dữ liệu và nghiệm thu Ban Lãnh Đạo: Đối chiếu tiền bán vé, tiền tài trợ và chi phí tiệc gala, xuất báo cáo tổng kết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</si>
</sst>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 &quot;MD&quot;"/>
    <numFmt numFmtId="165" formatCode="0.0&quot;%&quot;"/>
    <numFmt numFmtId="166" formatCode="#,##0 &quot;Tasks&quot;"/>
    <numFmt numFmtId="167" formatCode="#,##0.0"/>
  </numFmts>
  <fonts count="19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FFFFFF"/>
      <sz val="9"/>
      <name val="Segoe UI"/>
    </font>
    <font>
      <b/>
      <color rgb="FFFFFF"/>
      <sz val="9"/>
      <name val="Segoe UI"/>
    </font>
    <font>
      <b/>
      <color rgb="0284C7"/>
      <sz val="16"/>
      <name val="Segoe UI"/>
    </font>
    <font>
      <b/>
      <color rgb="059669"/>
      <sz val="16"/>
      <name val="Segoe UI"/>
    </font>
    <font>
      <b/>
      <color rgb="7C3AED"/>
      <sz val="16"/>
      <name val="Segoe UI"/>
    </font>
    <font>
      <b/>
      <color rgb="FFFFFF"/>
      <sz val="10.5"/>
      <name val="Segoe UI"/>
    </font>
    <font>
      <sz val="8.5"/>
      <name val="Segoe UI"/>
    </font>
    <font>
      <b/>
      <sz val="8.5"/>
      <name val="Segoe UI"/>
    </font>
    <font>
      <b/>
      <color rgb="065F46"/>
      <sz val="8.5"/>
      <name val="Segoe UI"/>
    </font>
    <font>
      <b/>
      <color rgb="0F172A"/>
      <sz val="9.5"/>
      <name val="Segoe UI"/>
    </font>
    <font>
      <b/>
      <color rgb="FFFFFF"/>
      <sz val="13"/>
      <name val="Segoe UI"/>
    </font>
    <font>
      <b/>
      <color rgb="FFFFFF"/>
      <sz val="9.5"/>
      <name val="Segoe UI"/>
    </font>
    <font>
      <b/>
      <color rgb="1E3A8A"/>
      <sz val="8.5"/>
      <name val="Segoe UI"/>
    </font>
    <font>
      <b/>
      <color rgb="92400E"/>
      <sz val="8.5"/>
      <name val="Segoe UI"/>
    </font>
    <font>
      <b/>
      <color rgb="166534"/>
      <sz val="8.5"/>
      <name val="Segoe UI"/>
    </font>
    <font>
      <b/>
      <color rgb="3730A3"/>
      <sz val="8.5"/>
      <name val="Segoe UI"/>
    </font>
    <font>
      <b/>
      <color rgb="991B1B"/>
      <sz val="8.5"/>
      <name val="Segoe UI"/>
    </font>
  </fonts>
  <fills count="22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97706"/>
      </patternFill>
    </fill>
    <fill>
      <patternFill patternType="solid">
        <fgColor rgb="F8FAFC"/>
      </patternFill>
    </fill>
    <fill>
      <patternFill patternType="solid">
        <fgColor rgb="334155"/>
      </patternFill>
    </fill>
    <fill>
      <patternFill patternType="solid">
        <fgColor rgb="D1FAE5"/>
      </patternFill>
    </fill>
    <fill>
      <patternFill patternType="solid">
        <fgColor rgb="F1F5F9"/>
      </patternFill>
    </fill>
    <fill>
      <patternFill patternType="solid">
        <fgColor rgb="0F172A"/>
      </patternFill>
    </fill>
    <fill>
      <patternFill patternType="solid">
        <fgColor rgb="FEF3C7"/>
      </patternFill>
    </fill>
    <fill>
      <patternFill patternType="solid">
        <fgColor rgb="DCFCE7"/>
      </patternFill>
    </fill>
    <fill>
      <patternFill patternType="solid">
        <fgColor rgb="E0E7FF"/>
      </patternFill>
    </fill>
    <fill>
      <patternFill patternType="solid">
        <fgColor rgb="FEE2E2"/>
      </patternFill>
    </fill>
    <fill>
      <patternFill patternType="solid">
        <fgColor rgb="0F766E"/>
      </patternFill>
    </fill>
    <fill>
      <patternFill patternType="solid">
        <fgColor rgb="1D4ED8"/>
      </patternFill>
    </fill>
    <fill>
      <patternFill patternType="solid">
        <fgColor rgb="6D28D9"/>
      </patternFill>
    </fill>
    <fill>
      <patternFill patternType="solid">
        <fgColor rgb="0284C7"/>
      </patternFill>
    </fill>
    <fill>
      <patternFill patternType="solid">
        <fgColor rgb="B45309"/>
      </patternFill>
    </fill>
    <fill>
      <patternFill patternType="solid">
        <fgColor rgb="4338CA"/>
      </patternFill>
    </fill>
    <fill>
      <patternFill patternType="solid">
        <fgColor rgb="C2410C"/>
      </patternFill>
    </fill>
    <fill>
      <patternFill patternType="solid">
        <fgColor rgb="047857"/>
      </patternFill>
    </fill>
    <fill>
      <patternFill patternType="solid">
        <fgColor rgb="9D174D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3" fontId="11" fillId="7" borderId="1" xfId="0" applyNumberFormat="1" applyFont="1" applyFill="1" applyBorder="1" applyAlignment="1">
      <alignment horizontal="right" vertical="center"/>
    </xf>
    <xf numFmtId="167" fontId="11" fillId="7" borderId="1" xfId="0" applyNumberFormat="1" applyFont="1" applyFill="1" applyBorder="1" applyAlignment="1">
      <alignment horizontal="right" vertical="center"/>
    </xf>
    <xf numFmtId="165" fontId="11" fillId="7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5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1" fillId="7" borderId="1" xfId="0" applyFont="1" applyFill="1" applyBorder="1"/>
    <xf numFmtId="0" fontId="12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 outlineLevelRow="0" outlineLevelCol="0" x14ac:dyDescent="55"/>
  <cols>
    <col min="1" max="1" width="8" customWidth="1"/>
    <col min="2" max="2" width="46" customWidth="1"/>
    <col min="3" max="3" width="16" customWidth="1"/>
    <col min="4" max="4" width="24" customWidth="1"/>
    <col min="5" max="6" width="22" customWidth="1"/>
    <col min="7" max="7" width="2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ht="22" customHeight="1" spans="1:7" x14ac:dyDescent="0.25">
      <c r="A5" s="3" t="s">
        <v>2</v>
      </c>
      <c r="B5" s="3"/>
      <c r="C5" s="3" t="s">
        <v>3</v>
      </c>
      <c r="D5" s="3"/>
      <c r="E5" s="3" t="s">
        <v>4</v>
      </c>
      <c r="F5" s="3"/>
      <c r="G5" s="3"/>
    </row>
    <row r="6" ht="32" customHeight="1" spans="1:7" x14ac:dyDescent="0.25">
      <c r="A6" s="4">
        <f>SUM(D9:D18)</f>
      </c>
      <c r="B6" s="4"/>
      <c r="C6" s="5">
        <f>AVERAGE(E9:E18)</f>
      </c>
      <c r="D6" s="5"/>
      <c r="E6" s="6">
        <f>SUM(C9:C18)</f>
      </c>
      <c r="F6" s="6"/>
      <c r="G6" s="6"/>
    </row>
    <row r="7" spans="1:7" x14ac:dyDescent="0.25">
      <c r="A7" s="7" t="s">
        <v>5</v>
      </c>
      <c r="B7" s="7"/>
      <c r="C7" s="7"/>
      <c r="D7" s="7"/>
      <c r="E7" s="7"/>
      <c r="F7" s="7"/>
      <c r="G7" s="7"/>
    </row>
    <row r="8" ht="26" customHeight="1" spans="1:7" x14ac:dyDescent="0.25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</row>
    <row r="9" ht="22" customHeight="1" spans="1:7" x14ac:dyDescent="0.25">
      <c r="A9" s="9" t="s">
        <v>13</v>
      </c>
      <c r="B9" s="10" t="s">
        <v>14</v>
      </c>
      <c r="C9" s="11">
        <f>COUNTA(WBS_01_CORE_AUTH_CRUD!A5:A104)</f>
      </c>
      <c r="D9" s="12">
        <f>SUM(WBS_01_CORE_AUTH_CRUD!L5:L104)</f>
      </c>
      <c r="E9" s="13">
        <f>AVERAGE(WBS_01_CORE_AUTH_CRUD!M5:M104)</f>
      </c>
      <c r="F9" s="14" t="s">
        <v>15</v>
      </c>
      <c r="G9" s="9" t="s">
        <v>16</v>
      </c>
    </row>
    <row r="10" ht="22" customHeight="1" spans="1:7" x14ac:dyDescent="0.25">
      <c r="A10" s="9" t="s">
        <v>17</v>
      </c>
      <c r="B10" s="10" t="s">
        <v>18</v>
      </c>
      <c r="C10" s="11">
        <f>COUNTA(WBS_02_SEARCH_PAGE_THEME!A5:A104)</f>
      </c>
      <c r="D10" s="12">
        <f>SUM(WBS_02_SEARCH_PAGE_THEME!L5:L104)</f>
      </c>
      <c r="E10" s="13">
        <f>AVERAGE(WBS_02_SEARCH_PAGE_THEME!M5:M104)</f>
      </c>
      <c r="F10" s="14" t="s">
        <v>15</v>
      </c>
      <c r="G10" s="9" t="s">
        <v>16</v>
      </c>
    </row>
    <row r="11" ht="22" customHeight="1" spans="1:7" x14ac:dyDescent="0.25">
      <c r="A11" s="9" t="s">
        <v>19</v>
      </c>
      <c r="B11" s="10" t="s">
        <v>20</v>
      </c>
      <c r="C11" s="11">
        <f>COUNTA(WBS_03_NETWORK_CONNECT!A5:A104)</f>
      </c>
      <c r="D11" s="12">
        <f>SUM(WBS_03_NETWORK_CONNECT!L5:L104)</f>
      </c>
      <c r="E11" s="13">
        <f>AVERAGE(WBS_03_NETWORK_CONNECT!M5:M104)</f>
      </c>
      <c r="F11" s="14" t="s">
        <v>15</v>
      </c>
      <c r="G11" s="9" t="s">
        <v>16</v>
      </c>
    </row>
    <row r="12" ht="22" customHeight="1" spans="1:7" x14ac:dyDescent="0.25">
      <c r="A12" s="9" t="s">
        <v>21</v>
      </c>
      <c r="B12" s="10" t="s">
        <v>22</v>
      </c>
      <c r="C12" s="11">
        <f>COUNTA(WBS_04_MOMENTS_COMMUNITY!A5:A104)</f>
      </c>
      <c r="D12" s="12">
        <f>SUM(WBS_04_MOMENTS_COMMUNITY!L5:L104)</f>
      </c>
      <c r="E12" s="13">
        <f>AVERAGE(WBS_04_MOMENTS_COMMUNITY!M5:M104)</f>
      </c>
      <c r="F12" s="14" t="s">
        <v>15</v>
      </c>
      <c r="G12" s="9" t="s">
        <v>16</v>
      </c>
    </row>
    <row r="13" ht="22" customHeight="1" spans="1:7" x14ac:dyDescent="0.25">
      <c r="A13" s="9" t="s">
        <v>23</v>
      </c>
      <c r="B13" s="10" t="s">
        <v>24</v>
      </c>
      <c r="C13" s="11">
        <f>COUNTA(WBS_05_CHAT_VIDEO_CALL!A5:A104)</f>
      </c>
      <c r="D13" s="12">
        <f>SUM(WBS_05_CHAT_VIDEO_CALL!L5:L104)</f>
      </c>
      <c r="E13" s="13">
        <f>AVERAGE(WBS_05_CHAT_VIDEO_CALL!M5:M104)</f>
      </c>
      <c r="F13" s="14" t="s">
        <v>15</v>
      </c>
      <c r="G13" s="9" t="s">
        <v>16</v>
      </c>
    </row>
    <row r="14" ht="22" customHeight="1" spans="1:7" x14ac:dyDescent="0.25">
      <c r="A14" s="9" t="s">
        <v>25</v>
      </c>
      <c r="B14" s="10" t="s">
        <v>26</v>
      </c>
      <c r="C14" s="11">
        <f>COUNTA(WBS_06_CRM_LEADS_REFERRAL!A5:A104)</f>
      </c>
      <c r="D14" s="12">
        <f>SUM(WBS_06_CRM_LEADS_REFERRAL!L5:L104)</f>
      </c>
      <c r="E14" s="13">
        <f>AVERAGE(WBS_06_CRM_LEADS_REFERRAL!M5:M104)</f>
      </c>
      <c r="F14" s="14" t="s">
        <v>15</v>
      </c>
      <c r="G14" s="9" t="s">
        <v>16</v>
      </c>
    </row>
    <row r="15" ht="22" customHeight="1" spans="1:7" x14ac:dyDescent="0.25">
      <c r="A15" s="9" t="s">
        <v>27</v>
      </c>
      <c r="B15" s="10" t="s">
        <v>28</v>
      </c>
      <c r="C15" s="11">
        <f>COUNTA(WBS_07_EMAIL_TEMPLATES!A5:A104)</f>
      </c>
      <c r="D15" s="12">
        <f>SUM(WBS_07_EMAIL_TEMPLATES!L5:L104)</f>
      </c>
      <c r="E15" s="13">
        <f>AVERAGE(WBS_07_EMAIL_TEMPLATES!M5:M104)</f>
      </c>
      <c r="F15" s="14" t="s">
        <v>15</v>
      </c>
      <c r="G15" s="9" t="s">
        <v>16</v>
      </c>
    </row>
    <row r="16" ht="22" customHeight="1" spans="1:7" x14ac:dyDescent="0.25">
      <c r="A16" s="9" t="s">
        <v>29</v>
      </c>
      <c r="B16" s="10" t="s">
        <v>30</v>
      </c>
      <c r="C16" s="11">
        <f>COUNTA(WBS_08_B2B_MARKETPLACE!A5:A104)</f>
      </c>
      <c r="D16" s="12">
        <f>SUM(WBS_08_B2B_MARKETPLACE!L5:L104)</f>
      </c>
      <c r="E16" s="13">
        <f>AVERAGE(WBS_08_B2B_MARKETPLACE!M5:M104)</f>
      </c>
      <c r="F16" s="14" t="s">
        <v>15</v>
      </c>
      <c r="G16" s="9" t="s">
        <v>16</v>
      </c>
    </row>
    <row r="17" ht="22" customHeight="1" spans="1:7" x14ac:dyDescent="0.25">
      <c r="A17" s="9" t="s">
        <v>31</v>
      </c>
      <c r="B17" s="10" t="s">
        <v>32</v>
      </c>
      <c r="C17" s="11">
        <f>COUNTA(WBS_09_FINANCE_VAT_EXCEL!A5:A104)</f>
      </c>
      <c r="D17" s="12">
        <f>SUM(WBS_09_FINANCE_VAT_EXCEL!L5:L104)</f>
      </c>
      <c r="E17" s="13">
        <f>AVERAGE(WBS_09_FINANCE_VAT_EXCEL!M5:M104)</f>
      </c>
      <c r="F17" s="14" t="s">
        <v>15</v>
      </c>
      <c r="G17" s="9" t="s">
        <v>16</v>
      </c>
    </row>
    <row r="18" ht="22" customHeight="1" spans="1:7" x14ac:dyDescent="0.25">
      <c r="A18" s="9" t="s">
        <v>33</v>
      </c>
      <c r="B18" s="10" t="s">
        <v>34</v>
      </c>
      <c r="C18" s="11">
        <f>COUNTA(WBS_10_EVENT_SEAT_VOTE!A5:A104)</f>
      </c>
      <c r="D18" s="12">
        <f>SUM(WBS_10_EVENT_SEAT_VOTE!L5:L104)</f>
      </c>
      <c r="E18" s="13">
        <f>AVERAGE(WBS_10_EVENT_SEAT_VOTE!M5:M104)</f>
      </c>
      <c r="F18" s="14" t="s">
        <v>15</v>
      </c>
      <c r="G18" s="9" t="s">
        <v>16</v>
      </c>
    </row>
    <row r="19" ht="26" customHeight="1" spans="1:7" x14ac:dyDescent="0.25">
      <c r="A19" s="15" t="s">
        <v>35</v>
      </c>
      <c r="B19" s="15" t="s">
        <v>36</v>
      </c>
      <c r="C19" s="16">
        <f>SUM(C9:C18)</f>
      </c>
      <c r="D19" s="17">
        <f>SUM(D9:D18)</f>
      </c>
      <c r="E19" s="18">
        <f>AVERAGE(E9:E18)</f>
      </c>
      <c r="F19" s="15" t="s">
        <v>37</v>
      </c>
      <c r="G19" s="15" t="s">
        <v>38</v>
      </c>
    </row>
  </sheetData>
  <mergeCells count="9">
    <mergeCell ref="A1:G2"/>
    <mergeCell ref="A3:G3"/>
    <mergeCell ref="A5:B5"/>
    <mergeCell ref="C5:D5"/>
    <mergeCell ref="E5:G5"/>
    <mergeCell ref="A6:B6"/>
    <mergeCell ref="C6:D6"/>
    <mergeCell ref="E6:G6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24" customHeight="1" spans="1:17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57</v>
      </c>
      <c r="B5" s="22" t="s">
        <v>14</v>
      </c>
      <c r="C5" s="22" t="s">
        <v>58</v>
      </c>
      <c r="D5" s="22" t="s">
        <v>59</v>
      </c>
      <c r="E5" s="22" t="s">
        <v>60</v>
      </c>
      <c r="F5" s="22" t="s">
        <v>61</v>
      </c>
      <c r="G5" s="22" t="s">
        <v>62</v>
      </c>
      <c r="H5" s="23" t="s">
        <v>63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67</v>
      </c>
    </row>
    <row r="6" ht="24" customHeight="1" spans="1:17" x14ac:dyDescent="0.25">
      <c r="A6" s="21" t="s">
        <v>68</v>
      </c>
      <c r="B6" s="22" t="s">
        <v>14</v>
      </c>
      <c r="C6" s="22" t="s">
        <v>58</v>
      </c>
      <c r="D6" s="22" t="s">
        <v>69</v>
      </c>
      <c r="E6" s="22" t="s">
        <v>70</v>
      </c>
      <c r="F6" s="22" t="s">
        <v>71</v>
      </c>
      <c r="G6" s="22" t="s">
        <v>72</v>
      </c>
      <c r="H6" s="26" t="s">
        <v>73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74</v>
      </c>
    </row>
    <row r="7" ht="24" customHeight="1" spans="1:17" x14ac:dyDescent="0.25">
      <c r="A7" s="21" t="s">
        <v>75</v>
      </c>
      <c r="B7" s="22" t="s">
        <v>14</v>
      </c>
      <c r="C7" s="22" t="s">
        <v>58</v>
      </c>
      <c r="D7" s="22" t="s">
        <v>76</v>
      </c>
      <c r="E7" s="22" t="s">
        <v>77</v>
      </c>
      <c r="F7" s="22" t="s">
        <v>78</v>
      </c>
      <c r="G7" s="22" t="s">
        <v>79</v>
      </c>
      <c r="H7" s="23" t="s">
        <v>63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80</v>
      </c>
    </row>
    <row r="8" ht="24" customHeight="1" spans="1:17" x14ac:dyDescent="0.25">
      <c r="A8" s="21" t="s">
        <v>81</v>
      </c>
      <c r="B8" s="22" t="s">
        <v>14</v>
      </c>
      <c r="C8" s="22" t="s">
        <v>58</v>
      </c>
      <c r="D8" s="22" t="s">
        <v>82</v>
      </c>
      <c r="E8" s="22" t="s">
        <v>83</v>
      </c>
      <c r="F8" s="22" t="s">
        <v>84</v>
      </c>
      <c r="G8" s="22" t="s">
        <v>85</v>
      </c>
      <c r="H8" s="26" t="s">
        <v>73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86</v>
      </c>
    </row>
    <row r="9" ht="24" customHeight="1" spans="1:17" x14ac:dyDescent="0.25">
      <c r="A9" s="21" t="s">
        <v>87</v>
      </c>
      <c r="B9" s="22" t="s">
        <v>14</v>
      </c>
      <c r="C9" s="22" t="s">
        <v>58</v>
      </c>
      <c r="D9" s="22" t="s">
        <v>88</v>
      </c>
      <c r="E9" s="22" t="s">
        <v>89</v>
      </c>
      <c r="F9" s="22" t="s">
        <v>90</v>
      </c>
      <c r="G9" s="22" t="s">
        <v>72</v>
      </c>
      <c r="H9" s="23" t="s">
        <v>63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91</v>
      </c>
    </row>
    <row r="10" ht="24" customHeight="1" spans="1:17" x14ac:dyDescent="0.25">
      <c r="A10" s="21" t="s">
        <v>92</v>
      </c>
      <c r="B10" s="22" t="s">
        <v>14</v>
      </c>
      <c r="C10" s="22" t="s">
        <v>58</v>
      </c>
      <c r="D10" s="22" t="s">
        <v>93</v>
      </c>
      <c r="E10" s="22" t="s">
        <v>94</v>
      </c>
      <c r="F10" s="22" t="s">
        <v>95</v>
      </c>
      <c r="G10" s="22" t="s">
        <v>72</v>
      </c>
      <c r="H10" s="23" t="s">
        <v>63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96</v>
      </c>
    </row>
    <row r="11" ht="24" customHeight="1" spans="1:17" x14ac:dyDescent="0.25">
      <c r="A11" s="21" t="s">
        <v>97</v>
      </c>
      <c r="B11" s="22" t="s">
        <v>14</v>
      </c>
      <c r="C11" s="22" t="s">
        <v>58</v>
      </c>
      <c r="D11" s="22" t="s">
        <v>98</v>
      </c>
      <c r="E11" s="22" t="s">
        <v>99</v>
      </c>
      <c r="F11" s="22" t="s">
        <v>100</v>
      </c>
      <c r="G11" s="22" t="s">
        <v>72</v>
      </c>
      <c r="H11" s="9" t="s">
        <v>101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102</v>
      </c>
    </row>
    <row r="12" ht="24" customHeight="1" spans="1:17" x14ac:dyDescent="0.25">
      <c r="A12" s="21" t="s">
        <v>103</v>
      </c>
      <c r="B12" s="22" t="s">
        <v>14</v>
      </c>
      <c r="C12" s="22" t="s">
        <v>58</v>
      </c>
      <c r="D12" s="22" t="s">
        <v>104</v>
      </c>
      <c r="E12" s="22" t="s">
        <v>105</v>
      </c>
      <c r="F12" s="22" t="s">
        <v>106</v>
      </c>
      <c r="G12" s="22" t="s">
        <v>79</v>
      </c>
      <c r="H12" s="23" t="s">
        <v>63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107</v>
      </c>
    </row>
    <row r="13" ht="24" customHeight="1" spans="1:17" x14ac:dyDescent="0.25">
      <c r="A13" s="21" t="s">
        <v>108</v>
      </c>
      <c r="B13" s="22" t="s">
        <v>14</v>
      </c>
      <c r="C13" s="22" t="s">
        <v>58</v>
      </c>
      <c r="D13" s="22" t="s">
        <v>109</v>
      </c>
      <c r="E13" s="22" t="s">
        <v>110</v>
      </c>
      <c r="F13" s="22" t="s">
        <v>111</v>
      </c>
      <c r="G13" s="22" t="s">
        <v>79</v>
      </c>
      <c r="H13" s="23" t="s">
        <v>63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112</v>
      </c>
    </row>
    <row r="14" ht="24" customHeight="1" spans="1:17" x14ac:dyDescent="0.25">
      <c r="A14" s="21" t="s">
        <v>113</v>
      </c>
      <c r="B14" s="22" t="s">
        <v>14</v>
      </c>
      <c r="C14" s="22" t="s">
        <v>58</v>
      </c>
      <c r="D14" s="22" t="s">
        <v>114</v>
      </c>
      <c r="E14" s="22" t="s">
        <v>115</v>
      </c>
      <c r="F14" s="22" t="s">
        <v>116</v>
      </c>
      <c r="G14" s="22" t="s">
        <v>79</v>
      </c>
      <c r="H14" s="9" t="s">
        <v>101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117</v>
      </c>
    </row>
    <row r="15" ht="24" customHeight="1" spans="1:17" x14ac:dyDescent="0.25">
      <c r="A15" s="21" t="s">
        <v>118</v>
      </c>
      <c r="B15" s="22" t="s">
        <v>14</v>
      </c>
      <c r="C15" s="22" t="s">
        <v>58</v>
      </c>
      <c r="D15" s="22" t="s">
        <v>119</v>
      </c>
      <c r="E15" s="22" t="s">
        <v>120</v>
      </c>
      <c r="F15" s="22" t="s">
        <v>121</v>
      </c>
      <c r="G15" s="22" t="s">
        <v>79</v>
      </c>
      <c r="H15" s="23" t="s">
        <v>63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122</v>
      </c>
    </row>
    <row r="16" ht="24" customHeight="1" spans="1:17" x14ac:dyDescent="0.25">
      <c r="A16" s="21" t="s">
        <v>123</v>
      </c>
      <c r="B16" s="22" t="s">
        <v>14</v>
      </c>
      <c r="C16" s="22" t="s">
        <v>58</v>
      </c>
      <c r="D16" s="22" t="s">
        <v>124</v>
      </c>
      <c r="E16" s="22" t="s">
        <v>125</v>
      </c>
      <c r="F16" s="22" t="s">
        <v>126</v>
      </c>
      <c r="G16" s="22" t="s">
        <v>127</v>
      </c>
      <c r="H16" s="26" t="s">
        <v>73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128</v>
      </c>
    </row>
    <row r="17" ht="24" customHeight="1" spans="1:17" x14ac:dyDescent="0.25">
      <c r="A17" s="21" t="s">
        <v>129</v>
      </c>
      <c r="B17" s="22" t="s">
        <v>14</v>
      </c>
      <c r="C17" s="22" t="s">
        <v>58</v>
      </c>
      <c r="D17" s="22" t="s">
        <v>130</v>
      </c>
      <c r="E17" s="22" t="s">
        <v>131</v>
      </c>
      <c r="F17" s="22" t="s">
        <v>132</v>
      </c>
      <c r="G17" s="22" t="s">
        <v>127</v>
      </c>
      <c r="H17" s="23" t="s">
        <v>63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133</v>
      </c>
    </row>
    <row r="18" ht="24" customHeight="1" spans="1:17" x14ac:dyDescent="0.25">
      <c r="A18" s="21" t="s">
        <v>134</v>
      </c>
      <c r="B18" s="22" t="s">
        <v>14</v>
      </c>
      <c r="C18" s="22" t="s">
        <v>58</v>
      </c>
      <c r="D18" s="22" t="s">
        <v>135</v>
      </c>
      <c r="E18" s="22" t="s">
        <v>136</v>
      </c>
      <c r="F18" s="22" t="s">
        <v>137</v>
      </c>
      <c r="G18" s="22" t="s">
        <v>127</v>
      </c>
      <c r="H18" s="23" t="s">
        <v>63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138</v>
      </c>
    </row>
    <row r="19" ht="24" customHeight="1" spans="1:17" x14ac:dyDescent="0.25">
      <c r="A19" s="21" t="s">
        <v>139</v>
      </c>
      <c r="B19" s="22" t="s">
        <v>14</v>
      </c>
      <c r="C19" s="22" t="s">
        <v>58</v>
      </c>
      <c r="D19" s="22" t="s">
        <v>140</v>
      </c>
      <c r="E19" s="22" t="s">
        <v>141</v>
      </c>
      <c r="F19" s="22" t="s">
        <v>142</v>
      </c>
      <c r="G19" s="22" t="s">
        <v>143</v>
      </c>
      <c r="H19" s="9" t="s">
        <v>101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144</v>
      </c>
    </row>
    <row r="20" ht="24" customHeight="1" spans="1:17" x14ac:dyDescent="0.25">
      <c r="A20" s="21" t="s">
        <v>145</v>
      </c>
      <c r="B20" s="22" t="s">
        <v>14</v>
      </c>
      <c r="C20" s="22" t="s">
        <v>58</v>
      </c>
      <c r="D20" s="22" t="s">
        <v>146</v>
      </c>
      <c r="E20" s="22" t="s">
        <v>147</v>
      </c>
      <c r="F20" s="22" t="s">
        <v>148</v>
      </c>
      <c r="G20" s="22" t="s">
        <v>127</v>
      </c>
      <c r="H20" s="23" t="s">
        <v>63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149</v>
      </c>
    </row>
    <row r="21" ht="24" customHeight="1" spans="1:17" x14ac:dyDescent="0.25">
      <c r="A21" s="21" t="s">
        <v>150</v>
      </c>
      <c r="B21" s="22" t="s">
        <v>14</v>
      </c>
      <c r="C21" s="22" t="s">
        <v>58</v>
      </c>
      <c r="D21" s="22" t="s">
        <v>151</v>
      </c>
      <c r="E21" s="22" t="s">
        <v>152</v>
      </c>
      <c r="F21" s="22" t="s">
        <v>153</v>
      </c>
      <c r="G21" s="22" t="s">
        <v>154</v>
      </c>
      <c r="H21" s="26" t="s">
        <v>73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155</v>
      </c>
    </row>
    <row r="22" ht="24" customHeight="1" spans="1:17" x14ac:dyDescent="0.25">
      <c r="A22" s="21" t="s">
        <v>156</v>
      </c>
      <c r="B22" s="22" t="s">
        <v>14</v>
      </c>
      <c r="C22" s="22" t="s">
        <v>58</v>
      </c>
      <c r="D22" s="22" t="s">
        <v>157</v>
      </c>
      <c r="E22" s="22" t="s">
        <v>158</v>
      </c>
      <c r="F22" s="22" t="s">
        <v>159</v>
      </c>
      <c r="G22" s="22" t="s">
        <v>143</v>
      </c>
      <c r="H22" s="26" t="s">
        <v>73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160</v>
      </c>
    </row>
    <row r="23" ht="24" customHeight="1" spans="1:17" x14ac:dyDescent="0.25">
      <c r="A23" s="21" t="s">
        <v>161</v>
      </c>
      <c r="B23" s="22" t="s">
        <v>14</v>
      </c>
      <c r="C23" s="22" t="s">
        <v>58</v>
      </c>
      <c r="D23" s="22" t="s">
        <v>162</v>
      </c>
      <c r="E23" s="22" t="s">
        <v>163</v>
      </c>
      <c r="F23" s="22" t="s">
        <v>164</v>
      </c>
      <c r="G23" s="22" t="s">
        <v>165</v>
      </c>
      <c r="H23" s="26" t="s">
        <v>73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166</v>
      </c>
    </row>
    <row r="24" ht="24" customHeight="1" spans="1:17" x14ac:dyDescent="0.25">
      <c r="A24" s="21" t="s">
        <v>167</v>
      </c>
      <c r="B24" s="22" t="s">
        <v>14</v>
      </c>
      <c r="C24" s="22" t="s">
        <v>58</v>
      </c>
      <c r="D24" s="22" t="s">
        <v>168</v>
      </c>
      <c r="E24" s="22" t="s">
        <v>169</v>
      </c>
      <c r="F24" s="22" t="s">
        <v>170</v>
      </c>
      <c r="G24" s="22" t="s">
        <v>165</v>
      </c>
      <c r="H24" s="26" t="s">
        <v>73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171</v>
      </c>
    </row>
    <row r="25" ht="24" customHeight="1" spans="1:17" x14ac:dyDescent="0.25">
      <c r="A25" s="21" t="s">
        <v>172</v>
      </c>
      <c r="B25" s="22" t="s">
        <v>14</v>
      </c>
      <c r="C25" s="22" t="s">
        <v>173</v>
      </c>
      <c r="D25" s="22" t="s">
        <v>174</v>
      </c>
      <c r="E25" s="22" t="s">
        <v>175</v>
      </c>
      <c r="F25" s="22" t="s">
        <v>61</v>
      </c>
      <c r="G25" s="22" t="s">
        <v>62</v>
      </c>
      <c r="H25" s="23" t="s">
        <v>63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67</v>
      </c>
    </row>
    <row r="26" ht="24" customHeight="1" spans="1:17" x14ac:dyDescent="0.25">
      <c r="A26" s="21" t="s">
        <v>176</v>
      </c>
      <c r="B26" s="22" t="s">
        <v>14</v>
      </c>
      <c r="C26" s="22" t="s">
        <v>173</v>
      </c>
      <c r="D26" s="22" t="s">
        <v>177</v>
      </c>
      <c r="E26" s="22" t="s">
        <v>178</v>
      </c>
      <c r="F26" s="22" t="s">
        <v>71</v>
      </c>
      <c r="G26" s="22" t="s">
        <v>72</v>
      </c>
      <c r="H26" s="26" t="s">
        <v>73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74</v>
      </c>
    </row>
    <row r="27" ht="24" customHeight="1" spans="1:17" x14ac:dyDescent="0.25">
      <c r="A27" s="21" t="s">
        <v>179</v>
      </c>
      <c r="B27" s="22" t="s">
        <v>14</v>
      </c>
      <c r="C27" s="22" t="s">
        <v>173</v>
      </c>
      <c r="D27" s="22" t="s">
        <v>180</v>
      </c>
      <c r="E27" s="22" t="s">
        <v>181</v>
      </c>
      <c r="F27" s="22" t="s">
        <v>78</v>
      </c>
      <c r="G27" s="22" t="s">
        <v>79</v>
      </c>
      <c r="H27" s="23" t="s">
        <v>63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80</v>
      </c>
    </row>
    <row r="28" ht="24" customHeight="1" spans="1:17" x14ac:dyDescent="0.25">
      <c r="A28" s="21" t="s">
        <v>182</v>
      </c>
      <c r="B28" s="22" t="s">
        <v>14</v>
      </c>
      <c r="C28" s="22" t="s">
        <v>173</v>
      </c>
      <c r="D28" s="22" t="s">
        <v>183</v>
      </c>
      <c r="E28" s="22" t="s">
        <v>184</v>
      </c>
      <c r="F28" s="22" t="s">
        <v>84</v>
      </c>
      <c r="G28" s="22" t="s">
        <v>85</v>
      </c>
      <c r="H28" s="26" t="s">
        <v>73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86</v>
      </c>
    </row>
    <row r="29" ht="24" customHeight="1" spans="1:17" x14ac:dyDescent="0.25">
      <c r="A29" s="21" t="s">
        <v>185</v>
      </c>
      <c r="B29" s="22" t="s">
        <v>14</v>
      </c>
      <c r="C29" s="22" t="s">
        <v>173</v>
      </c>
      <c r="D29" s="22" t="s">
        <v>186</v>
      </c>
      <c r="E29" s="22" t="s">
        <v>187</v>
      </c>
      <c r="F29" s="22" t="s">
        <v>90</v>
      </c>
      <c r="G29" s="22" t="s">
        <v>72</v>
      </c>
      <c r="H29" s="23" t="s">
        <v>63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91</v>
      </c>
    </row>
    <row r="30" ht="24" customHeight="1" spans="1:17" x14ac:dyDescent="0.25">
      <c r="A30" s="21" t="s">
        <v>188</v>
      </c>
      <c r="B30" s="22" t="s">
        <v>14</v>
      </c>
      <c r="C30" s="22" t="s">
        <v>173</v>
      </c>
      <c r="D30" s="22" t="s">
        <v>189</v>
      </c>
      <c r="E30" s="22" t="s">
        <v>190</v>
      </c>
      <c r="F30" s="22" t="s">
        <v>95</v>
      </c>
      <c r="G30" s="22" t="s">
        <v>72</v>
      </c>
      <c r="H30" s="23" t="s">
        <v>63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96</v>
      </c>
    </row>
    <row r="31" ht="24" customHeight="1" spans="1:17" x14ac:dyDescent="0.25">
      <c r="A31" s="21" t="s">
        <v>191</v>
      </c>
      <c r="B31" s="22" t="s">
        <v>14</v>
      </c>
      <c r="C31" s="22" t="s">
        <v>173</v>
      </c>
      <c r="D31" s="22" t="s">
        <v>192</v>
      </c>
      <c r="E31" s="22" t="s">
        <v>193</v>
      </c>
      <c r="F31" s="22" t="s">
        <v>100</v>
      </c>
      <c r="G31" s="22" t="s">
        <v>72</v>
      </c>
      <c r="H31" s="9" t="s">
        <v>101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102</v>
      </c>
    </row>
    <row r="32" ht="24" customHeight="1" spans="1:17" x14ac:dyDescent="0.25">
      <c r="A32" s="21" t="s">
        <v>194</v>
      </c>
      <c r="B32" s="22" t="s">
        <v>14</v>
      </c>
      <c r="C32" s="22" t="s">
        <v>173</v>
      </c>
      <c r="D32" s="22" t="s">
        <v>195</v>
      </c>
      <c r="E32" s="22" t="s">
        <v>196</v>
      </c>
      <c r="F32" s="22" t="s">
        <v>106</v>
      </c>
      <c r="G32" s="22" t="s">
        <v>79</v>
      </c>
      <c r="H32" s="23" t="s">
        <v>63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107</v>
      </c>
    </row>
    <row r="33" ht="24" customHeight="1" spans="1:17" x14ac:dyDescent="0.25">
      <c r="A33" s="21" t="s">
        <v>197</v>
      </c>
      <c r="B33" s="22" t="s">
        <v>14</v>
      </c>
      <c r="C33" s="22" t="s">
        <v>173</v>
      </c>
      <c r="D33" s="22" t="s">
        <v>198</v>
      </c>
      <c r="E33" s="22" t="s">
        <v>199</v>
      </c>
      <c r="F33" s="22" t="s">
        <v>111</v>
      </c>
      <c r="G33" s="22" t="s">
        <v>79</v>
      </c>
      <c r="H33" s="23" t="s">
        <v>63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112</v>
      </c>
    </row>
    <row r="34" ht="24" customHeight="1" spans="1:17" x14ac:dyDescent="0.25">
      <c r="A34" s="21" t="s">
        <v>200</v>
      </c>
      <c r="B34" s="22" t="s">
        <v>14</v>
      </c>
      <c r="C34" s="22" t="s">
        <v>173</v>
      </c>
      <c r="D34" s="22" t="s">
        <v>201</v>
      </c>
      <c r="E34" s="22" t="s">
        <v>202</v>
      </c>
      <c r="F34" s="22" t="s">
        <v>116</v>
      </c>
      <c r="G34" s="22" t="s">
        <v>79</v>
      </c>
      <c r="H34" s="9" t="s">
        <v>101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117</v>
      </c>
    </row>
    <row r="35" ht="24" customHeight="1" spans="1:17" x14ac:dyDescent="0.25">
      <c r="A35" s="21" t="s">
        <v>203</v>
      </c>
      <c r="B35" s="22" t="s">
        <v>14</v>
      </c>
      <c r="C35" s="22" t="s">
        <v>173</v>
      </c>
      <c r="D35" s="22" t="s">
        <v>204</v>
      </c>
      <c r="E35" s="22" t="s">
        <v>205</v>
      </c>
      <c r="F35" s="22" t="s">
        <v>121</v>
      </c>
      <c r="G35" s="22" t="s">
        <v>79</v>
      </c>
      <c r="H35" s="23" t="s">
        <v>63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122</v>
      </c>
    </row>
    <row r="36" ht="24" customHeight="1" spans="1:17" x14ac:dyDescent="0.25">
      <c r="A36" s="21" t="s">
        <v>206</v>
      </c>
      <c r="B36" s="22" t="s">
        <v>14</v>
      </c>
      <c r="C36" s="22" t="s">
        <v>173</v>
      </c>
      <c r="D36" s="22" t="s">
        <v>207</v>
      </c>
      <c r="E36" s="22" t="s">
        <v>208</v>
      </c>
      <c r="F36" s="22" t="s">
        <v>126</v>
      </c>
      <c r="G36" s="22" t="s">
        <v>127</v>
      </c>
      <c r="H36" s="26" t="s">
        <v>73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128</v>
      </c>
    </row>
    <row r="37" ht="24" customHeight="1" spans="1:17" x14ac:dyDescent="0.25">
      <c r="A37" s="21" t="s">
        <v>209</v>
      </c>
      <c r="B37" s="22" t="s">
        <v>14</v>
      </c>
      <c r="C37" s="22" t="s">
        <v>173</v>
      </c>
      <c r="D37" s="22" t="s">
        <v>210</v>
      </c>
      <c r="E37" s="22" t="s">
        <v>211</v>
      </c>
      <c r="F37" s="22" t="s">
        <v>132</v>
      </c>
      <c r="G37" s="22" t="s">
        <v>127</v>
      </c>
      <c r="H37" s="23" t="s">
        <v>63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133</v>
      </c>
    </row>
    <row r="38" ht="24" customHeight="1" spans="1:17" x14ac:dyDescent="0.25">
      <c r="A38" s="21" t="s">
        <v>212</v>
      </c>
      <c r="B38" s="22" t="s">
        <v>14</v>
      </c>
      <c r="C38" s="22" t="s">
        <v>173</v>
      </c>
      <c r="D38" s="22" t="s">
        <v>213</v>
      </c>
      <c r="E38" s="22" t="s">
        <v>214</v>
      </c>
      <c r="F38" s="22" t="s">
        <v>137</v>
      </c>
      <c r="G38" s="22" t="s">
        <v>127</v>
      </c>
      <c r="H38" s="23" t="s">
        <v>63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138</v>
      </c>
    </row>
    <row r="39" ht="24" customHeight="1" spans="1:17" x14ac:dyDescent="0.25">
      <c r="A39" s="21" t="s">
        <v>215</v>
      </c>
      <c r="B39" s="22" t="s">
        <v>14</v>
      </c>
      <c r="C39" s="22" t="s">
        <v>173</v>
      </c>
      <c r="D39" s="22" t="s">
        <v>216</v>
      </c>
      <c r="E39" s="22" t="s">
        <v>217</v>
      </c>
      <c r="F39" s="22" t="s">
        <v>142</v>
      </c>
      <c r="G39" s="22" t="s">
        <v>143</v>
      </c>
      <c r="H39" s="9" t="s">
        <v>101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144</v>
      </c>
    </row>
    <row r="40" ht="24" customHeight="1" spans="1:17" x14ac:dyDescent="0.25">
      <c r="A40" s="21" t="s">
        <v>218</v>
      </c>
      <c r="B40" s="22" t="s">
        <v>14</v>
      </c>
      <c r="C40" s="22" t="s">
        <v>173</v>
      </c>
      <c r="D40" s="22" t="s">
        <v>219</v>
      </c>
      <c r="E40" s="22" t="s">
        <v>220</v>
      </c>
      <c r="F40" s="22" t="s">
        <v>148</v>
      </c>
      <c r="G40" s="22" t="s">
        <v>127</v>
      </c>
      <c r="H40" s="23" t="s">
        <v>63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149</v>
      </c>
    </row>
    <row r="41" ht="24" customHeight="1" spans="1:17" x14ac:dyDescent="0.25">
      <c r="A41" s="21" t="s">
        <v>221</v>
      </c>
      <c r="B41" s="22" t="s">
        <v>14</v>
      </c>
      <c r="C41" s="22" t="s">
        <v>173</v>
      </c>
      <c r="D41" s="22" t="s">
        <v>222</v>
      </c>
      <c r="E41" s="22" t="s">
        <v>223</v>
      </c>
      <c r="F41" s="22" t="s">
        <v>153</v>
      </c>
      <c r="G41" s="22" t="s">
        <v>154</v>
      </c>
      <c r="H41" s="26" t="s">
        <v>73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155</v>
      </c>
    </row>
    <row r="42" ht="24" customHeight="1" spans="1:17" x14ac:dyDescent="0.25">
      <c r="A42" s="21" t="s">
        <v>224</v>
      </c>
      <c r="B42" s="22" t="s">
        <v>14</v>
      </c>
      <c r="C42" s="22" t="s">
        <v>173</v>
      </c>
      <c r="D42" s="22" t="s">
        <v>225</v>
      </c>
      <c r="E42" s="22" t="s">
        <v>226</v>
      </c>
      <c r="F42" s="22" t="s">
        <v>159</v>
      </c>
      <c r="G42" s="22" t="s">
        <v>143</v>
      </c>
      <c r="H42" s="26" t="s">
        <v>73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160</v>
      </c>
    </row>
    <row r="43" ht="24" customHeight="1" spans="1:17" x14ac:dyDescent="0.25">
      <c r="A43" s="21" t="s">
        <v>227</v>
      </c>
      <c r="B43" s="22" t="s">
        <v>14</v>
      </c>
      <c r="C43" s="22" t="s">
        <v>173</v>
      </c>
      <c r="D43" s="22" t="s">
        <v>228</v>
      </c>
      <c r="E43" s="22" t="s">
        <v>229</v>
      </c>
      <c r="F43" s="22" t="s">
        <v>164</v>
      </c>
      <c r="G43" s="22" t="s">
        <v>165</v>
      </c>
      <c r="H43" s="26" t="s">
        <v>73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166</v>
      </c>
    </row>
    <row r="44" ht="24" customHeight="1" spans="1:17" x14ac:dyDescent="0.25">
      <c r="A44" s="21" t="s">
        <v>230</v>
      </c>
      <c r="B44" s="22" t="s">
        <v>14</v>
      </c>
      <c r="C44" s="22" t="s">
        <v>173</v>
      </c>
      <c r="D44" s="22" t="s">
        <v>231</v>
      </c>
      <c r="E44" s="22" t="s">
        <v>232</v>
      </c>
      <c r="F44" s="22" t="s">
        <v>170</v>
      </c>
      <c r="G44" s="22" t="s">
        <v>165</v>
      </c>
      <c r="H44" s="26" t="s">
        <v>73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171</v>
      </c>
    </row>
    <row r="45" ht="24" customHeight="1" spans="1:17" x14ac:dyDescent="0.25">
      <c r="A45" s="21" t="s">
        <v>233</v>
      </c>
      <c r="B45" s="22" t="s">
        <v>14</v>
      </c>
      <c r="C45" s="22" t="s">
        <v>234</v>
      </c>
      <c r="D45" s="22" t="s">
        <v>235</v>
      </c>
      <c r="E45" s="22" t="s">
        <v>236</v>
      </c>
      <c r="F45" s="22" t="s">
        <v>61</v>
      </c>
      <c r="G45" s="22" t="s">
        <v>62</v>
      </c>
      <c r="H45" s="23" t="s">
        <v>63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67</v>
      </c>
    </row>
    <row r="46" ht="24" customHeight="1" spans="1:17" x14ac:dyDescent="0.25">
      <c r="A46" s="21" t="s">
        <v>237</v>
      </c>
      <c r="B46" s="22" t="s">
        <v>14</v>
      </c>
      <c r="C46" s="22" t="s">
        <v>234</v>
      </c>
      <c r="D46" s="22" t="s">
        <v>238</v>
      </c>
      <c r="E46" s="22" t="s">
        <v>239</v>
      </c>
      <c r="F46" s="22" t="s">
        <v>71</v>
      </c>
      <c r="G46" s="22" t="s">
        <v>72</v>
      </c>
      <c r="H46" s="26" t="s">
        <v>73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74</v>
      </c>
    </row>
    <row r="47" ht="24" customHeight="1" spans="1:17" x14ac:dyDescent="0.25">
      <c r="A47" s="21" t="s">
        <v>240</v>
      </c>
      <c r="B47" s="22" t="s">
        <v>14</v>
      </c>
      <c r="C47" s="22" t="s">
        <v>234</v>
      </c>
      <c r="D47" s="22" t="s">
        <v>241</v>
      </c>
      <c r="E47" s="22" t="s">
        <v>242</v>
      </c>
      <c r="F47" s="22" t="s">
        <v>78</v>
      </c>
      <c r="G47" s="22" t="s">
        <v>79</v>
      </c>
      <c r="H47" s="23" t="s">
        <v>63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80</v>
      </c>
    </row>
    <row r="48" ht="24" customHeight="1" spans="1:17" x14ac:dyDescent="0.25">
      <c r="A48" s="21" t="s">
        <v>243</v>
      </c>
      <c r="B48" s="22" t="s">
        <v>14</v>
      </c>
      <c r="C48" s="22" t="s">
        <v>234</v>
      </c>
      <c r="D48" s="22" t="s">
        <v>244</v>
      </c>
      <c r="E48" s="22" t="s">
        <v>245</v>
      </c>
      <c r="F48" s="22" t="s">
        <v>84</v>
      </c>
      <c r="G48" s="22" t="s">
        <v>85</v>
      </c>
      <c r="H48" s="26" t="s">
        <v>73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86</v>
      </c>
    </row>
    <row r="49" ht="24" customHeight="1" spans="1:17" x14ac:dyDescent="0.25">
      <c r="A49" s="21" t="s">
        <v>246</v>
      </c>
      <c r="B49" s="22" t="s">
        <v>14</v>
      </c>
      <c r="C49" s="22" t="s">
        <v>234</v>
      </c>
      <c r="D49" s="22" t="s">
        <v>247</v>
      </c>
      <c r="E49" s="22" t="s">
        <v>248</v>
      </c>
      <c r="F49" s="22" t="s">
        <v>90</v>
      </c>
      <c r="G49" s="22" t="s">
        <v>72</v>
      </c>
      <c r="H49" s="23" t="s">
        <v>63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91</v>
      </c>
    </row>
    <row r="50" ht="24" customHeight="1" spans="1:17" x14ac:dyDescent="0.25">
      <c r="A50" s="21" t="s">
        <v>249</v>
      </c>
      <c r="B50" s="22" t="s">
        <v>14</v>
      </c>
      <c r="C50" s="22" t="s">
        <v>234</v>
      </c>
      <c r="D50" s="22" t="s">
        <v>250</v>
      </c>
      <c r="E50" s="22" t="s">
        <v>251</v>
      </c>
      <c r="F50" s="22" t="s">
        <v>95</v>
      </c>
      <c r="G50" s="22" t="s">
        <v>72</v>
      </c>
      <c r="H50" s="23" t="s">
        <v>63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96</v>
      </c>
    </row>
    <row r="51" ht="24" customHeight="1" spans="1:17" x14ac:dyDescent="0.25">
      <c r="A51" s="21" t="s">
        <v>252</v>
      </c>
      <c r="B51" s="22" t="s">
        <v>14</v>
      </c>
      <c r="C51" s="22" t="s">
        <v>234</v>
      </c>
      <c r="D51" s="22" t="s">
        <v>253</v>
      </c>
      <c r="E51" s="22" t="s">
        <v>254</v>
      </c>
      <c r="F51" s="22" t="s">
        <v>100</v>
      </c>
      <c r="G51" s="22" t="s">
        <v>72</v>
      </c>
      <c r="H51" s="9" t="s">
        <v>101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102</v>
      </c>
    </row>
    <row r="52" ht="24" customHeight="1" spans="1:17" x14ac:dyDescent="0.25">
      <c r="A52" s="21" t="s">
        <v>255</v>
      </c>
      <c r="B52" s="22" t="s">
        <v>14</v>
      </c>
      <c r="C52" s="22" t="s">
        <v>234</v>
      </c>
      <c r="D52" s="22" t="s">
        <v>256</v>
      </c>
      <c r="E52" s="22" t="s">
        <v>257</v>
      </c>
      <c r="F52" s="22" t="s">
        <v>106</v>
      </c>
      <c r="G52" s="22" t="s">
        <v>79</v>
      </c>
      <c r="H52" s="23" t="s">
        <v>63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107</v>
      </c>
    </row>
    <row r="53" ht="24" customHeight="1" spans="1:17" x14ac:dyDescent="0.25">
      <c r="A53" s="21" t="s">
        <v>258</v>
      </c>
      <c r="B53" s="22" t="s">
        <v>14</v>
      </c>
      <c r="C53" s="22" t="s">
        <v>234</v>
      </c>
      <c r="D53" s="22" t="s">
        <v>259</v>
      </c>
      <c r="E53" s="22" t="s">
        <v>260</v>
      </c>
      <c r="F53" s="22" t="s">
        <v>111</v>
      </c>
      <c r="G53" s="22" t="s">
        <v>79</v>
      </c>
      <c r="H53" s="23" t="s">
        <v>63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112</v>
      </c>
    </row>
    <row r="54" ht="24" customHeight="1" spans="1:17" x14ac:dyDescent="0.25">
      <c r="A54" s="21" t="s">
        <v>261</v>
      </c>
      <c r="B54" s="22" t="s">
        <v>14</v>
      </c>
      <c r="C54" s="22" t="s">
        <v>234</v>
      </c>
      <c r="D54" s="22" t="s">
        <v>262</v>
      </c>
      <c r="E54" s="22" t="s">
        <v>263</v>
      </c>
      <c r="F54" s="22" t="s">
        <v>116</v>
      </c>
      <c r="G54" s="22" t="s">
        <v>79</v>
      </c>
      <c r="H54" s="9" t="s">
        <v>101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117</v>
      </c>
    </row>
    <row r="55" ht="24" customHeight="1" spans="1:17" x14ac:dyDescent="0.25">
      <c r="A55" s="21" t="s">
        <v>264</v>
      </c>
      <c r="B55" s="22" t="s">
        <v>14</v>
      </c>
      <c r="C55" s="22" t="s">
        <v>234</v>
      </c>
      <c r="D55" s="22" t="s">
        <v>265</v>
      </c>
      <c r="E55" s="22" t="s">
        <v>266</v>
      </c>
      <c r="F55" s="22" t="s">
        <v>121</v>
      </c>
      <c r="G55" s="22" t="s">
        <v>79</v>
      </c>
      <c r="H55" s="23" t="s">
        <v>63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122</v>
      </c>
    </row>
    <row r="56" ht="24" customHeight="1" spans="1:17" x14ac:dyDescent="0.25">
      <c r="A56" s="21" t="s">
        <v>267</v>
      </c>
      <c r="B56" s="22" t="s">
        <v>14</v>
      </c>
      <c r="C56" s="22" t="s">
        <v>234</v>
      </c>
      <c r="D56" s="22" t="s">
        <v>268</v>
      </c>
      <c r="E56" s="22" t="s">
        <v>269</v>
      </c>
      <c r="F56" s="22" t="s">
        <v>126</v>
      </c>
      <c r="G56" s="22" t="s">
        <v>127</v>
      </c>
      <c r="H56" s="26" t="s">
        <v>73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128</v>
      </c>
    </row>
    <row r="57" ht="24" customHeight="1" spans="1:17" x14ac:dyDescent="0.25">
      <c r="A57" s="21" t="s">
        <v>270</v>
      </c>
      <c r="B57" s="22" t="s">
        <v>14</v>
      </c>
      <c r="C57" s="22" t="s">
        <v>234</v>
      </c>
      <c r="D57" s="22" t="s">
        <v>271</v>
      </c>
      <c r="E57" s="22" t="s">
        <v>272</v>
      </c>
      <c r="F57" s="22" t="s">
        <v>132</v>
      </c>
      <c r="G57" s="22" t="s">
        <v>127</v>
      </c>
      <c r="H57" s="23" t="s">
        <v>63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133</v>
      </c>
    </row>
    <row r="58" ht="24" customHeight="1" spans="1:17" x14ac:dyDescent="0.25">
      <c r="A58" s="21" t="s">
        <v>273</v>
      </c>
      <c r="B58" s="22" t="s">
        <v>14</v>
      </c>
      <c r="C58" s="22" t="s">
        <v>234</v>
      </c>
      <c r="D58" s="22" t="s">
        <v>274</v>
      </c>
      <c r="E58" s="22" t="s">
        <v>275</v>
      </c>
      <c r="F58" s="22" t="s">
        <v>137</v>
      </c>
      <c r="G58" s="22" t="s">
        <v>127</v>
      </c>
      <c r="H58" s="23" t="s">
        <v>63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138</v>
      </c>
    </row>
    <row r="59" ht="24" customHeight="1" spans="1:17" x14ac:dyDescent="0.25">
      <c r="A59" s="21" t="s">
        <v>276</v>
      </c>
      <c r="B59" s="22" t="s">
        <v>14</v>
      </c>
      <c r="C59" s="22" t="s">
        <v>234</v>
      </c>
      <c r="D59" s="22" t="s">
        <v>277</v>
      </c>
      <c r="E59" s="22" t="s">
        <v>278</v>
      </c>
      <c r="F59" s="22" t="s">
        <v>142</v>
      </c>
      <c r="G59" s="22" t="s">
        <v>143</v>
      </c>
      <c r="H59" s="9" t="s">
        <v>101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144</v>
      </c>
    </row>
    <row r="60" ht="24" customHeight="1" spans="1:17" x14ac:dyDescent="0.25">
      <c r="A60" s="21" t="s">
        <v>279</v>
      </c>
      <c r="B60" s="22" t="s">
        <v>14</v>
      </c>
      <c r="C60" s="22" t="s">
        <v>234</v>
      </c>
      <c r="D60" s="22" t="s">
        <v>280</v>
      </c>
      <c r="E60" s="22" t="s">
        <v>281</v>
      </c>
      <c r="F60" s="22" t="s">
        <v>148</v>
      </c>
      <c r="G60" s="22" t="s">
        <v>127</v>
      </c>
      <c r="H60" s="23" t="s">
        <v>63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149</v>
      </c>
    </row>
    <row r="61" ht="24" customHeight="1" spans="1:17" x14ac:dyDescent="0.25">
      <c r="A61" s="21" t="s">
        <v>282</v>
      </c>
      <c r="B61" s="22" t="s">
        <v>14</v>
      </c>
      <c r="C61" s="22" t="s">
        <v>234</v>
      </c>
      <c r="D61" s="22" t="s">
        <v>283</v>
      </c>
      <c r="E61" s="22" t="s">
        <v>284</v>
      </c>
      <c r="F61" s="22" t="s">
        <v>153</v>
      </c>
      <c r="G61" s="22" t="s">
        <v>154</v>
      </c>
      <c r="H61" s="26" t="s">
        <v>73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155</v>
      </c>
    </row>
    <row r="62" ht="24" customHeight="1" spans="1:17" x14ac:dyDescent="0.25">
      <c r="A62" s="21" t="s">
        <v>285</v>
      </c>
      <c r="B62" s="22" t="s">
        <v>14</v>
      </c>
      <c r="C62" s="22" t="s">
        <v>234</v>
      </c>
      <c r="D62" s="22" t="s">
        <v>286</v>
      </c>
      <c r="E62" s="22" t="s">
        <v>287</v>
      </c>
      <c r="F62" s="22" t="s">
        <v>159</v>
      </c>
      <c r="G62" s="22" t="s">
        <v>143</v>
      </c>
      <c r="H62" s="26" t="s">
        <v>73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160</v>
      </c>
    </row>
    <row r="63" ht="24" customHeight="1" spans="1:17" x14ac:dyDescent="0.25">
      <c r="A63" s="21" t="s">
        <v>288</v>
      </c>
      <c r="B63" s="22" t="s">
        <v>14</v>
      </c>
      <c r="C63" s="22" t="s">
        <v>234</v>
      </c>
      <c r="D63" s="22" t="s">
        <v>289</v>
      </c>
      <c r="E63" s="22" t="s">
        <v>290</v>
      </c>
      <c r="F63" s="22" t="s">
        <v>164</v>
      </c>
      <c r="G63" s="22" t="s">
        <v>165</v>
      </c>
      <c r="H63" s="26" t="s">
        <v>73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166</v>
      </c>
    </row>
    <row r="64" ht="24" customHeight="1" spans="1:17" x14ac:dyDescent="0.25">
      <c r="A64" s="21" t="s">
        <v>291</v>
      </c>
      <c r="B64" s="22" t="s">
        <v>14</v>
      </c>
      <c r="C64" s="22" t="s">
        <v>234</v>
      </c>
      <c r="D64" s="22" t="s">
        <v>292</v>
      </c>
      <c r="E64" s="22" t="s">
        <v>293</v>
      </c>
      <c r="F64" s="22" t="s">
        <v>170</v>
      </c>
      <c r="G64" s="22" t="s">
        <v>165</v>
      </c>
      <c r="H64" s="26" t="s">
        <v>73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171</v>
      </c>
    </row>
    <row r="65" ht="24" customHeight="1" spans="1:17" x14ac:dyDescent="0.25">
      <c r="A65" s="21" t="s">
        <v>294</v>
      </c>
      <c r="B65" s="22" t="s">
        <v>14</v>
      </c>
      <c r="C65" s="22" t="s">
        <v>295</v>
      </c>
      <c r="D65" s="22" t="s">
        <v>296</v>
      </c>
      <c r="E65" s="22" t="s">
        <v>297</v>
      </c>
      <c r="F65" s="22" t="s">
        <v>61</v>
      </c>
      <c r="G65" s="22" t="s">
        <v>62</v>
      </c>
      <c r="H65" s="23" t="s">
        <v>63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67</v>
      </c>
    </row>
    <row r="66" ht="24" customHeight="1" spans="1:17" x14ac:dyDescent="0.25">
      <c r="A66" s="21" t="s">
        <v>298</v>
      </c>
      <c r="B66" s="22" t="s">
        <v>14</v>
      </c>
      <c r="C66" s="22" t="s">
        <v>295</v>
      </c>
      <c r="D66" s="22" t="s">
        <v>299</v>
      </c>
      <c r="E66" s="22" t="s">
        <v>300</v>
      </c>
      <c r="F66" s="22" t="s">
        <v>71</v>
      </c>
      <c r="G66" s="22" t="s">
        <v>72</v>
      </c>
      <c r="H66" s="26" t="s">
        <v>73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74</v>
      </c>
    </row>
    <row r="67" ht="24" customHeight="1" spans="1:17" x14ac:dyDescent="0.25">
      <c r="A67" s="21" t="s">
        <v>301</v>
      </c>
      <c r="B67" s="22" t="s">
        <v>14</v>
      </c>
      <c r="C67" s="22" t="s">
        <v>295</v>
      </c>
      <c r="D67" s="22" t="s">
        <v>302</v>
      </c>
      <c r="E67" s="22" t="s">
        <v>303</v>
      </c>
      <c r="F67" s="22" t="s">
        <v>78</v>
      </c>
      <c r="G67" s="22" t="s">
        <v>79</v>
      </c>
      <c r="H67" s="23" t="s">
        <v>63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80</v>
      </c>
    </row>
    <row r="68" ht="24" customHeight="1" spans="1:17" x14ac:dyDescent="0.25">
      <c r="A68" s="21" t="s">
        <v>304</v>
      </c>
      <c r="B68" s="22" t="s">
        <v>14</v>
      </c>
      <c r="C68" s="22" t="s">
        <v>295</v>
      </c>
      <c r="D68" s="22" t="s">
        <v>305</v>
      </c>
      <c r="E68" s="22" t="s">
        <v>306</v>
      </c>
      <c r="F68" s="22" t="s">
        <v>84</v>
      </c>
      <c r="G68" s="22" t="s">
        <v>85</v>
      </c>
      <c r="H68" s="26" t="s">
        <v>73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86</v>
      </c>
    </row>
    <row r="69" ht="24" customHeight="1" spans="1:17" x14ac:dyDescent="0.25">
      <c r="A69" s="21" t="s">
        <v>307</v>
      </c>
      <c r="B69" s="22" t="s">
        <v>14</v>
      </c>
      <c r="C69" s="22" t="s">
        <v>295</v>
      </c>
      <c r="D69" s="22" t="s">
        <v>308</v>
      </c>
      <c r="E69" s="22" t="s">
        <v>309</v>
      </c>
      <c r="F69" s="22" t="s">
        <v>90</v>
      </c>
      <c r="G69" s="22" t="s">
        <v>72</v>
      </c>
      <c r="H69" s="23" t="s">
        <v>63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91</v>
      </c>
    </row>
    <row r="70" ht="24" customHeight="1" spans="1:17" x14ac:dyDescent="0.25">
      <c r="A70" s="21" t="s">
        <v>310</v>
      </c>
      <c r="B70" s="22" t="s">
        <v>14</v>
      </c>
      <c r="C70" s="22" t="s">
        <v>295</v>
      </c>
      <c r="D70" s="22" t="s">
        <v>311</v>
      </c>
      <c r="E70" s="22" t="s">
        <v>312</v>
      </c>
      <c r="F70" s="22" t="s">
        <v>95</v>
      </c>
      <c r="G70" s="22" t="s">
        <v>72</v>
      </c>
      <c r="H70" s="23" t="s">
        <v>63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96</v>
      </c>
    </row>
    <row r="71" ht="24" customHeight="1" spans="1:17" x14ac:dyDescent="0.25">
      <c r="A71" s="21" t="s">
        <v>313</v>
      </c>
      <c r="B71" s="22" t="s">
        <v>14</v>
      </c>
      <c r="C71" s="22" t="s">
        <v>295</v>
      </c>
      <c r="D71" s="22" t="s">
        <v>314</v>
      </c>
      <c r="E71" s="22" t="s">
        <v>315</v>
      </c>
      <c r="F71" s="22" t="s">
        <v>100</v>
      </c>
      <c r="G71" s="22" t="s">
        <v>72</v>
      </c>
      <c r="H71" s="9" t="s">
        <v>101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102</v>
      </c>
    </row>
    <row r="72" ht="24" customHeight="1" spans="1:17" x14ac:dyDescent="0.25">
      <c r="A72" s="21" t="s">
        <v>316</v>
      </c>
      <c r="B72" s="22" t="s">
        <v>14</v>
      </c>
      <c r="C72" s="22" t="s">
        <v>295</v>
      </c>
      <c r="D72" s="22" t="s">
        <v>317</v>
      </c>
      <c r="E72" s="22" t="s">
        <v>318</v>
      </c>
      <c r="F72" s="22" t="s">
        <v>106</v>
      </c>
      <c r="G72" s="22" t="s">
        <v>79</v>
      </c>
      <c r="H72" s="23" t="s">
        <v>63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107</v>
      </c>
    </row>
    <row r="73" ht="24" customHeight="1" spans="1:17" x14ac:dyDescent="0.25">
      <c r="A73" s="21" t="s">
        <v>319</v>
      </c>
      <c r="B73" s="22" t="s">
        <v>14</v>
      </c>
      <c r="C73" s="22" t="s">
        <v>295</v>
      </c>
      <c r="D73" s="22" t="s">
        <v>320</v>
      </c>
      <c r="E73" s="22" t="s">
        <v>321</v>
      </c>
      <c r="F73" s="22" t="s">
        <v>111</v>
      </c>
      <c r="G73" s="22" t="s">
        <v>79</v>
      </c>
      <c r="H73" s="23" t="s">
        <v>63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112</v>
      </c>
    </row>
    <row r="74" ht="24" customHeight="1" spans="1:17" x14ac:dyDescent="0.25">
      <c r="A74" s="21" t="s">
        <v>322</v>
      </c>
      <c r="B74" s="22" t="s">
        <v>14</v>
      </c>
      <c r="C74" s="22" t="s">
        <v>295</v>
      </c>
      <c r="D74" s="22" t="s">
        <v>323</v>
      </c>
      <c r="E74" s="22" t="s">
        <v>324</v>
      </c>
      <c r="F74" s="22" t="s">
        <v>116</v>
      </c>
      <c r="G74" s="22" t="s">
        <v>79</v>
      </c>
      <c r="H74" s="9" t="s">
        <v>101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117</v>
      </c>
    </row>
    <row r="75" ht="24" customHeight="1" spans="1:17" x14ac:dyDescent="0.25">
      <c r="A75" s="21" t="s">
        <v>325</v>
      </c>
      <c r="B75" s="22" t="s">
        <v>14</v>
      </c>
      <c r="C75" s="22" t="s">
        <v>295</v>
      </c>
      <c r="D75" s="22" t="s">
        <v>326</v>
      </c>
      <c r="E75" s="22" t="s">
        <v>327</v>
      </c>
      <c r="F75" s="22" t="s">
        <v>121</v>
      </c>
      <c r="G75" s="22" t="s">
        <v>79</v>
      </c>
      <c r="H75" s="23" t="s">
        <v>63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122</v>
      </c>
    </row>
    <row r="76" ht="24" customHeight="1" spans="1:17" x14ac:dyDescent="0.25">
      <c r="A76" s="21" t="s">
        <v>328</v>
      </c>
      <c r="B76" s="22" t="s">
        <v>14</v>
      </c>
      <c r="C76" s="22" t="s">
        <v>295</v>
      </c>
      <c r="D76" s="22" t="s">
        <v>329</v>
      </c>
      <c r="E76" s="22" t="s">
        <v>330</v>
      </c>
      <c r="F76" s="22" t="s">
        <v>126</v>
      </c>
      <c r="G76" s="22" t="s">
        <v>127</v>
      </c>
      <c r="H76" s="26" t="s">
        <v>73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128</v>
      </c>
    </row>
    <row r="77" ht="24" customHeight="1" spans="1:17" x14ac:dyDescent="0.25">
      <c r="A77" s="21" t="s">
        <v>331</v>
      </c>
      <c r="B77" s="22" t="s">
        <v>14</v>
      </c>
      <c r="C77" s="22" t="s">
        <v>295</v>
      </c>
      <c r="D77" s="22" t="s">
        <v>332</v>
      </c>
      <c r="E77" s="22" t="s">
        <v>333</v>
      </c>
      <c r="F77" s="22" t="s">
        <v>132</v>
      </c>
      <c r="G77" s="22" t="s">
        <v>127</v>
      </c>
      <c r="H77" s="23" t="s">
        <v>63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133</v>
      </c>
    </row>
    <row r="78" ht="24" customHeight="1" spans="1:17" x14ac:dyDescent="0.25">
      <c r="A78" s="21" t="s">
        <v>334</v>
      </c>
      <c r="B78" s="22" t="s">
        <v>14</v>
      </c>
      <c r="C78" s="22" t="s">
        <v>295</v>
      </c>
      <c r="D78" s="22" t="s">
        <v>335</v>
      </c>
      <c r="E78" s="22" t="s">
        <v>336</v>
      </c>
      <c r="F78" s="22" t="s">
        <v>137</v>
      </c>
      <c r="G78" s="22" t="s">
        <v>127</v>
      </c>
      <c r="H78" s="23" t="s">
        <v>63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138</v>
      </c>
    </row>
    <row r="79" ht="24" customHeight="1" spans="1:17" x14ac:dyDescent="0.25">
      <c r="A79" s="21" t="s">
        <v>337</v>
      </c>
      <c r="B79" s="22" t="s">
        <v>14</v>
      </c>
      <c r="C79" s="22" t="s">
        <v>295</v>
      </c>
      <c r="D79" s="22" t="s">
        <v>338</v>
      </c>
      <c r="E79" s="22" t="s">
        <v>339</v>
      </c>
      <c r="F79" s="22" t="s">
        <v>142</v>
      </c>
      <c r="G79" s="22" t="s">
        <v>143</v>
      </c>
      <c r="H79" s="9" t="s">
        <v>101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144</v>
      </c>
    </row>
    <row r="80" ht="24" customHeight="1" spans="1:17" x14ac:dyDescent="0.25">
      <c r="A80" s="21" t="s">
        <v>340</v>
      </c>
      <c r="B80" s="22" t="s">
        <v>14</v>
      </c>
      <c r="C80" s="22" t="s">
        <v>295</v>
      </c>
      <c r="D80" s="22" t="s">
        <v>341</v>
      </c>
      <c r="E80" s="22" t="s">
        <v>342</v>
      </c>
      <c r="F80" s="22" t="s">
        <v>148</v>
      </c>
      <c r="G80" s="22" t="s">
        <v>127</v>
      </c>
      <c r="H80" s="23" t="s">
        <v>63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149</v>
      </c>
    </row>
    <row r="81" ht="24" customHeight="1" spans="1:17" x14ac:dyDescent="0.25">
      <c r="A81" s="21" t="s">
        <v>343</v>
      </c>
      <c r="B81" s="22" t="s">
        <v>14</v>
      </c>
      <c r="C81" s="22" t="s">
        <v>295</v>
      </c>
      <c r="D81" s="22" t="s">
        <v>344</v>
      </c>
      <c r="E81" s="22" t="s">
        <v>345</v>
      </c>
      <c r="F81" s="22" t="s">
        <v>153</v>
      </c>
      <c r="G81" s="22" t="s">
        <v>154</v>
      </c>
      <c r="H81" s="26" t="s">
        <v>73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155</v>
      </c>
    </row>
    <row r="82" ht="24" customHeight="1" spans="1:17" x14ac:dyDescent="0.25">
      <c r="A82" s="21" t="s">
        <v>346</v>
      </c>
      <c r="B82" s="22" t="s">
        <v>14</v>
      </c>
      <c r="C82" s="22" t="s">
        <v>295</v>
      </c>
      <c r="D82" s="22" t="s">
        <v>347</v>
      </c>
      <c r="E82" s="22" t="s">
        <v>348</v>
      </c>
      <c r="F82" s="22" t="s">
        <v>159</v>
      </c>
      <c r="G82" s="22" t="s">
        <v>143</v>
      </c>
      <c r="H82" s="26" t="s">
        <v>73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160</v>
      </c>
    </row>
    <row r="83" ht="24" customHeight="1" spans="1:17" x14ac:dyDescent="0.25">
      <c r="A83" s="21" t="s">
        <v>349</v>
      </c>
      <c r="B83" s="22" t="s">
        <v>14</v>
      </c>
      <c r="C83" s="22" t="s">
        <v>295</v>
      </c>
      <c r="D83" s="22" t="s">
        <v>350</v>
      </c>
      <c r="E83" s="22" t="s">
        <v>351</v>
      </c>
      <c r="F83" s="22" t="s">
        <v>164</v>
      </c>
      <c r="G83" s="22" t="s">
        <v>165</v>
      </c>
      <c r="H83" s="26" t="s">
        <v>73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166</v>
      </c>
    </row>
    <row r="84" ht="24" customHeight="1" spans="1:17" x14ac:dyDescent="0.25">
      <c r="A84" s="21" t="s">
        <v>352</v>
      </c>
      <c r="B84" s="22" t="s">
        <v>14</v>
      </c>
      <c r="C84" s="22" t="s">
        <v>295</v>
      </c>
      <c r="D84" s="22" t="s">
        <v>353</v>
      </c>
      <c r="E84" s="22" t="s">
        <v>354</v>
      </c>
      <c r="F84" s="22" t="s">
        <v>170</v>
      </c>
      <c r="G84" s="22" t="s">
        <v>165</v>
      </c>
      <c r="H84" s="26" t="s">
        <v>73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171</v>
      </c>
    </row>
    <row r="85" ht="24" customHeight="1" spans="1:17" x14ac:dyDescent="0.25">
      <c r="A85" s="21" t="s">
        <v>355</v>
      </c>
      <c r="B85" s="22" t="s">
        <v>14</v>
      </c>
      <c r="C85" s="22" t="s">
        <v>356</v>
      </c>
      <c r="D85" s="22" t="s">
        <v>357</v>
      </c>
      <c r="E85" s="22" t="s">
        <v>358</v>
      </c>
      <c r="F85" s="22" t="s">
        <v>61</v>
      </c>
      <c r="G85" s="22" t="s">
        <v>62</v>
      </c>
      <c r="H85" s="23" t="s">
        <v>63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67</v>
      </c>
    </row>
    <row r="86" ht="24" customHeight="1" spans="1:17" x14ac:dyDescent="0.25">
      <c r="A86" s="21" t="s">
        <v>359</v>
      </c>
      <c r="B86" s="22" t="s">
        <v>14</v>
      </c>
      <c r="C86" s="22" t="s">
        <v>356</v>
      </c>
      <c r="D86" s="22" t="s">
        <v>360</v>
      </c>
      <c r="E86" s="22" t="s">
        <v>361</v>
      </c>
      <c r="F86" s="22" t="s">
        <v>71</v>
      </c>
      <c r="G86" s="22" t="s">
        <v>72</v>
      </c>
      <c r="H86" s="26" t="s">
        <v>73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74</v>
      </c>
    </row>
    <row r="87" ht="24" customHeight="1" spans="1:17" x14ac:dyDescent="0.25">
      <c r="A87" s="21" t="s">
        <v>362</v>
      </c>
      <c r="B87" s="22" t="s">
        <v>14</v>
      </c>
      <c r="C87" s="22" t="s">
        <v>356</v>
      </c>
      <c r="D87" s="22" t="s">
        <v>363</v>
      </c>
      <c r="E87" s="22" t="s">
        <v>364</v>
      </c>
      <c r="F87" s="22" t="s">
        <v>78</v>
      </c>
      <c r="G87" s="22" t="s">
        <v>79</v>
      </c>
      <c r="H87" s="23" t="s">
        <v>63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80</v>
      </c>
    </row>
    <row r="88" ht="24" customHeight="1" spans="1:17" x14ac:dyDescent="0.25">
      <c r="A88" s="21" t="s">
        <v>365</v>
      </c>
      <c r="B88" s="22" t="s">
        <v>14</v>
      </c>
      <c r="C88" s="22" t="s">
        <v>356</v>
      </c>
      <c r="D88" s="22" t="s">
        <v>366</v>
      </c>
      <c r="E88" s="22" t="s">
        <v>367</v>
      </c>
      <c r="F88" s="22" t="s">
        <v>84</v>
      </c>
      <c r="G88" s="22" t="s">
        <v>85</v>
      </c>
      <c r="H88" s="26" t="s">
        <v>73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86</v>
      </c>
    </row>
    <row r="89" ht="24" customHeight="1" spans="1:17" x14ac:dyDescent="0.25">
      <c r="A89" s="21" t="s">
        <v>368</v>
      </c>
      <c r="B89" s="22" t="s">
        <v>14</v>
      </c>
      <c r="C89" s="22" t="s">
        <v>356</v>
      </c>
      <c r="D89" s="22" t="s">
        <v>369</v>
      </c>
      <c r="E89" s="22" t="s">
        <v>370</v>
      </c>
      <c r="F89" s="22" t="s">
        <v>90</v>
      </c>
      <c r="G89" s="22" t="s">
        <v>72</v>
      </c>
      <c r="H89" s="23" t="s">
        <v>63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91</v>
      </c>
    </row>
    <row r="90" ht="24" customHeight="1" spans="1:17" x14ac:dyDescent="0.25">
      <c r="A90" s="21" t="s">
        <v>371</v>
      </c>
      <c r="B90" s="22" t="s">
        <v>14</v>
      </c>
      <c r="C90" s="22" t="s">
        <v>356</v>
      </c>
      <c r="D90" s="22" t="s">
        <v>372</v>
      </c>
      <c r="E90" s="22" t="s">
        <v>373</v>
      </c>
      <c r="F90" s="22" t="s">
        <v>95</v>
      </c>
      <c r="G90" s="22" t="s">
        <v>72</v>
      </c>
      <c r="H90" s="23" t="s">
        <v>63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96</v>
      </c>
    </row>
    <row r="91" ht="24" customHeight="1" spans="1:17" x14ac:dyDescent="0.25">
      <c r="A91" s="21" t="s">
        <v>374</v>
      </c>
      <c r="B91" s="22" t="s">
        <v>14</v>
      </c>
      <c r="C91" s="22" t="s">
        <v>356</v>
      </c>
      <c r="D91" s="22" t="s">
        <v>375</v>
      </c>
      <c r="E91" s="22" t="s">
        <v>376</v>
      </c>
      <c r="F91" s="22" t="s">
        <v>100</v>
      </c>
      <c r="G91" s="22" t="s">
        <v>72</v>
      </c>
      <c r="H91" s="9" t="s">
        <v>101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102</v>
      </c>
    </row>
    <row r="92" ht="24" customHeight="1" spans="1:17" x14ac:dyDescent="0.25">
      <c r="A92" s="21" t="s">
        <v>377</v>
      </c>
      <c r="B92" s="22" t="s">
        <v>14</v>
      </c>
      <c r="C92" s="22" t="s">
        <v>356</v>
      </c>
      <c r="D92" s="22" t="s">
        <v>378</v>
      </c>
      <c r="E92" s="22" t="s">
        <v>379</v>
      </c>
      <c r="F92" s="22" t="s">
        <v>106</v>
      </c>
      <c r="G92" s="22" t="s">
        <v>79</v>
      </c>
      <c r="H92" s="23" t="s">
        <v>63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107</v>
      </c>
    </row>
    <row r="93" ht="24" customHeight="1" spans="1:17" x14ac:dyDescent="0.25">
      <c r="A93" s="21" t="s">
        <v>380</v>
      </c>
      <c r="B93" s="22" t="s">
        <v>14</v>
      </c>
      <c r="C93" s="22" t="s">
        <v>356</v>
      </c>
      <c r="D93" s="22" t="s">
        <v>381</v>
      </c>
      <c r="E93" s="22" t="s">
        <v>382</v>
      </c>
      <c r="F93" s="22" t="s">
        <v>111</v>
      </c>
      <c r="G93" s="22" t="s">
        <v>79</v>
      </c>
      <c r="H93" s="23" t="s">
        <v>63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112</v>
      </c>
    </row>
    <row r="94" ht="24" customHeight="1" spans="1:17" x14ac:dyDescent="0.25">
      <c r="A94" s="21" t="s">
        <v>383</v>
      </c>
      <c r="B94" s="22" t="s">
        <v>14</v>
      </c>
      <c r="C94" s="22" t="s">
        <v>356</v>
      </c>
      <c r="D94" s="22" t="s">
        <v>384</v>
      </c>
      <c r="E94" s="22" t="s">
        <v>385</v>
      </c>
      <c r="F94" s="22" t="s">
        <v>116</v>
      </c>
      <c r="G94" s="22" t="s">
        <v>79</v>
      </c>
      <c r="H94" s="9" t="s">
        <v>101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117</v>
      </c>
    </row>
    <row r="95" ht="24" customHeight="1" spans="1:17" x14ac:dyDescent="0.25">
      <c r="A95" s="21" t="s">
        <v>386</v>
      </c>
      <c r="B95" s="22" t="s">
        <v>14</v>
      </c>
      <c r="C95" s="22" t="s">
        <v>356</v>
      </c>
      <c r="D95" s="22" t="s">
        <v>387</v>
      </c>
      <c r="E95" s="22" t="s">
        <v>388</v>
      </c>
      <c r="F95" s="22" t="s">
        <v>121</v>
      </c>
      <c r="G95" s="22" t="s">
        <v>79</v>
      </c>
      <c r="H95" s="23" t="s">
        <v>63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122</v>
      </c>
    </row>
    <row r="96" ht="24" customHeight="1" spans="1:17" x14ac:dyDescent="0.25">
      <c r="A96" s="21" t="s">
        <v>389</v>
      </c>
      <c r="B96" s="22" t="s">
        <v>14</v>
      </c>
      <c r="C96" s="22" t="s">
        <v>356</v>
      </c>
      <c r="D96" s="22" t="s">
        <v>390</v>
      </c>
      <c r="E96" s="22" t="s">
        <v>391</v>
      </c>
      <c r="F96" s="22" t="s">
        <v>126</v>
      </c>
      <c r="G96" s="22" t="s">
        <v>127</v>
      </c>
      <c r="H96" s="26" t="s">
        <v>73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128</v>
      </c>
    </row>
    <row r="97" ht="24" customHeight="1" spans="1:17" x14ac:dyDescent="0.25">
      <c r="A97" s="21" t="s">
        <v>392</v>
      </c>
      <c r="B97" s="22" t="s">
        <v>14</v>
      </c>
      <c r="C97" s="22" t="s">
        <v>356</v>
      </c>
      <c r="D97" s="22" t="s">
        <v>393</v>
      </c>
      <c r="E97" s="22" t="s">
        <v>394</v>
      </c>
      <c r="F97" s="22" t="s">
        <v>132</v>
      </c>
      <c r="G97" s="22" t="s">
        <v>127</v>
      </c>
      <c r="H97" s="23" t="s">
        <v>63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133</v>
      </c>
    </row>
    <row r="98" ht="24" customHeight="1" spans="1:17" x14ac:dyDescent="0.25">
      <c r="A98" s="21" t="s">
        <v>395</v>
      </c>
      <c r="B98" s="22" t="s">
        <v>14</v>
      </c>
      <c r="C98" s="22" t="s">
        <v>356</v>
      </c>
      <c r="D98" s="22" t="s">
        <v>396</v>
      </c>
      <c r="E98" s="22" t="s">
        <v>397</v>
      </c>
      <c r="F98" s="22" t="s">
        <v>137</v>
      </c>
      <c r="G98" s="22" t="s">
        <v>127</v>
      </c>
      <c r="H98" s="23" t="s">
        <v>63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138</v>
      </c>
    </row>
    <row r="99" ht="24" customHeight="1" spans="1:17" x14ac:dyDescent="0.25">
      <c r="A99" s="21" t="s">
        <v>398</v>
      </c>
      <c r="B99" s="22" t="s">
        <v>14</v>
      </c>
      <c r="C99" s="22" t="s">
        <v>356</v>
      </c>
      <c r="D99" s="22" t="s">
        <v>399</v>
      </c>
      <c r="E99" s="22" t="s">
        <v>400</v>
      </c>
      <c r="F99" s="22" t="s">
        <v>142</v>
      </c>
      <c r="G99" s="22" t="s">
        <v>143</v>
      </c>
      <c r="H99" s="9" t="s">
        <v>101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144</v>
      </c>
    </row>
    <row r="100" ht="24" customHeight="1" spans="1:17" x14ac:dyDescent="0.25">
      <c r="A100" s="21" t="s">
        <v>401</v>
      </c>
      <c r="B100" s="22" t="s">
        <v>14</v>
      </c>
      <c r="C100" s="22" t="s">
        <v>356</v>
      </c>
      <c r="D100" s="22" t="s">
        <v>402</v>
      </c>
      <c r="E100" s="22" t="s">
        <v>403</v>
      </c>
      <c r="F100" s="22" t="s">
        <v>148</v>
      </c>
      <c r="G100" s="22" t="s">
        <v>127</v>
      </c>
      <c r="H100" s="23" t="s">
        <v>63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149</v>
      </c>
    </row>
    <row r="101" ht="24" customHeight="1" spans="1:17" x14ac:dyDescent="0.25">
      <c r="A101" s="21" t="s">
        <v>404</v>
      </c>
      <c r="B101" s="22" t="s">
        <v>14</v>
      </c>
      <c r="C101" s="22" t="s">
        <v>356</v>
      </c>
      <c r="D101" s="22" t="s">
        <v>405</v>
      </c>
      <c r="E101" s="22" t="s">
        <v>406</v>
      </c>
      <c r="F101" s="22" t="s">
        <v>153</v>
      </c>
      <c r="G101" s="22" t="s">
        <v>154</v>
      </c>
      <c r="H101" s="26" t="s">
        <v>73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155</v>
      </c>
    </row>
    <row r="102" ht="24" customHeight="1" spans="1:17" x14ac:dyDescent="0.25">
      <c r="A102" s="21" t="s">
        <v>407</v>
      </c>
      <c r="B102" s="22" t="s">
        <v>14</v>
      </c>
      <c r="C102" s="22" t="s">
        <v>356</v>
      </c>
      <c r="D102" s="22" t="s">
        <v>408</v>
      </c>
      <c r="E102" s="22" t="s">
        <v>409</v>
      </c>
      <c r="F102" s="22" t="s">
        <v>159</v>
      </c>
      <c r="G102" s="22" t="s">
        <v>143</v>
      </c>
      <c r="H102" s="26" t="s">
        <v>73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160</v>
      </c>
    </row>
    <row r="103" ht="24" customHeight="1" spans="1:17" x14ac:dyDescent="0.25">
      <c r="A103" s="21" t="s">
        <v>410</v>
      </c>
      <c r="B103" s="22" t="s">
        <v>14</v>
      </c>
      <c r="C103" s="22" t="s">
        <v>356</v>
      </c>
      <c r="D103" s="22" t="s">
        <v>411</v>
      </c>
      <c r="E103" s="22" t="s">
        <v>412</v>
      </c>
      <c r="F103" s="22" t="s">
        <v>164</v>
      </c>
      <c r="G103" s="22" t="s">
        <v>165</v>
      </c>
      <c r="H103" s="26" t="s">
        <v>73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166</v>
      </c>
    </row>
    <row r="104" ht="24" customHeight="1" spans="1:17" x14ac:dyDescent="0.25">
      <c r="A104" s="21" t="s">
        <v>413</v>
      </c>
      <c r="B104" s="22" t="s">
        <v>14</v>
      </c>
      <c r="C104" s="22" t="s">
        <v>356</v>
      </c>
      <c r="D104" s="22" t="s">
        <v>414</v>
      </c>
      <c r="E104" s="22" t="s">
        <v>415</v>
      </c>
      <c r="F104" s="22" t="s">
        <v>170</v>
      </c>
      <c r="G104" s="22" t="s">
        <v>165</v>
      </c>
      <c r="H104" s="26" t="s">
        <v>73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171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28" t="s">
        <v>417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ht="24" customHeight="1" spans="1:17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418</v>
      </c>
      <c r="B5" s="22" t="s">
        <v>18</v>
      </c>
      <c r="C5" s="22" t="s">
        <v>419</v>
      </c>
      <c r="D5" s="22" t="s">
        <v>420</v>
      </c>
      <c r="E5" s="22" t="s">
        <v>421</v>
      </c>
      <c r="F5" s="22" t="s">
        <v>422</v>
      </c>
      <c r="G5" s="22" t="s">
        <v>72</v>
      </c>
      <c r="H5" s="23" t="s">
        <v>63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423</v>
      </c>
    </row>
    <row r="6" ht="24" customHeight="1" spans="1:17" x14ac:dyDescent="0.25">
      <c r="A6" s="21" t="s">
        <v>424</v>
      </c>
      <c r="B6" s="22" t="s">
        <v>18</v>
      </c>
      <c r="C6" s="22" t="s">
        <v>419</v>
      </c>
      <c r="D6" s="22" t="s">
        <v>425</v>
      </c>
      <c r="E6" s="22" t="s">
        <v>426</v>
      </c>
      <c r="F6" s="22" t="s">
        <v>427</v>
      </c>
      <c r="G6" s="22" t="s">
        <v>72</v>
      </c>
      <c r="H6" s="23" t="s">
        <v>63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428</v>
      </c>
    </row>
    <row r="7" ht="24" customHeight="1" spans="1:17" x14ac:dyDescent="0.25">
      <c r="A7" s="21" t="s">
        <v>429</v>
      </c>
      <c r="B7" s="22" t="s">
        <v>18</v>
      </c>
      <c r="C7" s="22" t="s">
        <v>419</v>
      </c>
      <c r="D7" s="22" t="s">
        <v>430</v>
      </c>
      <c r="E7" s="22" t="s">
        <v>431</v>
      </c>
      <c r="F7" s="22" t="s">
        <v>432</v>
      </c>
      <c r="G7" s="22" t="s">
        <v>72</v>
      </c>
      <c r="H7" s="23" t="s">
        <v>63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433</v>
      </c>
    </row>
    <row r="8" ht="24" customHeight="1" spans="1:17" x14ac:dyDescent="0.25">
      <c r="A8" s="21" t="s">
        <v>434</v>
      </c>
      <c r="B8" s="22" t="s">
        <v>18</v>
      </c>
      <c r="C8" s="22" t="s">
        <v>419</v>
      </c>
      <c r="D8" s="22" t="s">
        <v>435</v>
      </c>
      <c r="E8" s="22" t="s">
        <v>436</v>
      </c>
      <c r="F8" s="22" t="s">
        <v>437</v>
      </c>
      <c r="G8" s="22" t="s">
        <v>165</v>
      </c>
      <c r="H8" s="23" t="s">
        <v>63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438</v>
      </c>
    </row>
    <row r="9" ht="24" customHeight="1" spans="1:17" x14ac:dyDescent="0.25">
      <c r="A9" s="21" t="s">
        <v>439</v>
      </c>
      <c r="B9" s="22" t="s">
        <v>18</v>
      </c>
      <c r="C9" s="22" t="s">
        <v>419</v>
      </c>
      <c r="D9" s="22" t="s">
        <v>440</v>
      </c>
      <c r="E9" s="22" t="s">
        <v>441</v>
      </c>
      <c r="F9" s="22" t="s">
        <v>442</v>
      </c>
      <c r="G9" s="22" t="s">
        <v>72</v>
      </c>
      <c r="H9" s="23" t="s">
        <v>63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443</v>
      </c>
    </row>
    <row r="10" ht="24" customHeight="1" spans="1:17" x14ac:dyDescent="0.25">
      <c r="A10" s="21" t="s">
        <v>444</v>
      </c>
      <c r="B10" s="22" t="s">
        <v>18</v>
      </c>
      <c r="C10" s="22" t="s">
        <v>419</v>
      </c>
      <c r="D10" s="22" t="s">
        <v>445</v>
      </c>
      <c r="E10" s="22" t="s">
        <v>446</v>
      </c>
      <c r="F10" s="22" t="s">
        <v>447</v>
      </c>
      <c r="G10" s="22" t="s">
        <v>448</v>
      </c>
      <c r="H10" s="23" t="s">
        <v>63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449</v>
      </c>
    </row>
    <row r="11" ht="24" customHeight="1" spans="1:17" x14ac:dyDescent="0.25">
      <c r="A11" s="21" t="s">
        <v>450</v>
      </c>
      <c r="B11" s="22" t="s">
        <v>18</v>
      </c>
      <c r="C11" s="22" t="s">
        <v>419</v>
      </c>
      <c r="D11" s="22" t="s">
        <v>451</v>
      </c>
      <c r="E11" s="22" t="s">
        <v>452</v>
      </c>
      <c r="F11" s="22" t="s">
        <v>453</v>
      </c>
      <c r="G11" s="22" t="s">
        <v>127</v>
      </c>
      <c r="H11" s="9" t="s">
        <v>101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454</v>
      </c>
    </row>
    <row r="12" ht="24" customHeight="1" spans="1:17" x14ac:dyDescent="0.25">
      <c r="A12" s="21" t="s">
        <v>455</v>
      </c>
      <c r="B12" s="22" t="s">
        <v>18</v>
      </c>
      <c r="C12" s="22" t="s">
        <v>419</v>
      </c>
      <c r="D12" s="22" t="s">
        <v>456</v>
      </c>
      <c r="E12" s="22" t="s">
        <v>457</v>
      </c>
      <c r="F12" s="22" t="s">
        <v>458</v>
      </c>
      <c r="G12" s="22" t="s">
        <v>72</v>
      </c>
      <c r="H12" s="9" t="s">
        <v>101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459</v>
      </c>
    </row>
    <row r="13" ht="24" customHeight="1" spans="1:17" x14ac:dyDescent="0.25">
      <c r="A13" s="21" t="s">
        <v>460</v>
      </c>
      <c r="B13" s="22" t="s">
        <v>18</v>
      </c>
      <c r="C13" s="22" t="s">
        <v>419</v>
      </c>
      <c r="D13" s="22" t="s">
        <v>461</v>
      </c>
      <c r="E13" s="22" t="s">
        <v>462</v>
      </c>
      <c r="F13" s="22" t="s">
        <v>463</v>
      </c>
      <c r="G13" s="22" t="s">
        <v>72</v>
      </c>
      <c r="H13" s="9" t="s">
        <v>101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464</v>
      </c>
    </row>
    <row r="14" ht="24" customHeight="1" spans="1:17" x14ac:dyDescent="0.25">
      <c r="A14" s="21" t="s">
        <v>465</v>
      </c>
      <c r="B14" s="22" t="s">
        <v>18</v>
      </c>
      <c r="C14" s="22" t="s">
        <v>419</v>
      </c>
      <c r="D14" s="22" t="s">
        <v>466</v>
      </c>
      <c r="E14" s="22" t="s">
        <v>467</v>
      </c>
      <c r="F14" s="22" t="s">
        <v>468</v>
      </c>
      <c r="G14" s="22" t="s">
        <v>72</v>
      </c>
      <c r="H14" s="9" t="s">
        <v>469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470</v>
      </c>
    </row>
    <row r="15" ht="24" customHeight="1" spans="1:17" x14ac:dyDescent="0.25">
      <c r="A15" s="21" t="s">
        <v>471</v>
      </c>
      <c r="B15" s="22" t="s">
        <v>18</v>
      </c>
      <c r="C15" s="22" t="s">
        <v>419</v>
      </c>
      <c r="D15" s="22" t="s">
        <v>472</v>
      </c>
      <c r="E15" s="22" t="s">
        <v>473</v>
      </c>
      <c r="F15" s="22" t="s">
        <v>474</v>
      </c>
      <c r="G15" s="22" t="s">
        <v>72</v>
      </c>
      <c r="H15" s="23" t="s">
        <v>63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475</v>
      </c>
    </row>
    <row r="16" ht="24" customHeight="1" spans="1:17" x14ac:dyDescent="0.25">
      <c r="A16" s="21" t="s">
        <v>476</v>
      </c>
      <c r="B16" s="22" t="s">
        <v>18</v>
      </c>
      <c r="C16" s="22" t="s">
        <v>419</v>
      </c>
      <c r="D16" s="22" t="s">
        <v>477</v>
      </c>
      <c r="E16" s="22" t="s">
        <v>478</v>
      </c>
      <c r="F16" s="22" t="s">
        <v>479</v>
      </c>
      <c r="G16" s="22" t="s">
        <v>72</v>
      </c>
      <c r="H16" s="23" t="s">
        <v>63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480</v>
      </c>
    </row>
    <row r="17" ht="24" customHeight="1" spans="1:17" x14ac:dyDescent="0.25">
      <c r="A17" s="21" t="s">
        <v>481</v>
      </c>
      <c r="B17" s="22" t="s">
        <v>18</v>
      </c>
      <c r="C17" s="22" t="s">
        <v>419</v>
      </c>
      <c r="D17" s="22" t="s">
        <v>482</v>
      </c>
      <c r="E17" s="22" t="s">
        <v>483</v>
      </c>
      <c r="F17" s="22" t="s">
        <v>484</v>
      </c>
      <c r="G17" s="22" t="s">
        <v>485</v>
      </c>
      <c r="H17" s="23" t="s">
        <v>63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486</v>
      </c>
    </row>
    <row r="18" ht="24" customHeight="1" spans="1:17" x14ac:dyDescent="0.25">
      <c r="A18" s="21" t="s">
        <v>487</v>
      </c>
      <c r="B18" s="22" t="s">
        <v>18</v>
      </c>
      <c r="C18" s="22" t="s">
        <v>419</v>
      </c>
      <c r="D18" s="22" t="s">
        <v>488</v>
      </c>
      <c r="E18" s="22" t="s">
        <v>489</v>
      </c>
      <c r="F18" s="22" t="s">
        <v>490</v>
      </c>
      <c r="G18" s="22" t="s">
        <v>72</v>
      </c>
      <c r="H18" s="23" t="s">
        <v>63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491</v>
      </c>
    </row>
    <row r="19" ht="24" customHeight="1" spans="1:17" x14ac:dyDescent="0.25">
      <c r="A19" s="21" t="s">
        <v>492</v>
      </c>
      <c r="B19" s="22" t="s">
        <v>18</v>
      </c>
      <c r="C19" s="22" t="s">
        <v>419</v>
      </c>
      <c r="D19" s="22" t="s">
        <v>493</v>
      </c>
      <c r="E19" s="22" t="s">
        <v>494</v>
      </c>
      <c r="F19" s="22" t="s">
        <v>495</v>
      </c>
      <c r="G19" s="22" t="s">
        <v>72</v>
      </c>
      <c r="H19" s="9" t="s">
        <v>101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496</v>
      </c>
    </row>
    <row r="20" ht="24" customHeight="1" spans="1:17" x14ac:dyDescent="0.25">
      <c r="A20" s="21" t="s">
        <v>497</v>
      </c>
      <c r="B20" s="22" t="s">
        <v>18</v>
      </c>
      <c r="C20" s="22" t="s">
        <v>419</v>
      </c>
      <c r="D20" s="22" t="s">
        <v>498</v>
      </c>
      <c r="E20" s="22" t="s">
        <v>499</v>
      </c>
      <c r="F20" s="22" t="s">
        <v>500</v>
      </c>
      <c r="G20" s="22" t="s">
        <v>79</v>
      </c>
      <c r="H20" s="9" t="s">
        <v>101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501</v>
      </c>
    </row>
    <row r="21" ht="24" customHeight="1" spans="1:17" x14ac:dyDescent="0.25">
      <c r="A21" s="21" t="s">
        <v>502</v>
      </c>
      <c r="B21" s="22" t="s">
        <v>18</v>
      </c>
      <c r="C21" s="22" t="s">
        <v>419</v>
      </c>
      <c r="D21" s="22" t="s">
        <v>503</v>
      </c>
      <c r="E21" s="22" t="s">
        <v>504</v>
      </c>
      <c r="F21" s="22" t="s">
        <v>505</v>
      </c>
      <c r="G21" s="22" t="s">
        <v>506</v>
      </c>
      <c r="H21" s="9" t="s">
        <v>469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507</v>
      </c>
    </row>
    <row r="22" ht="24" customHeight="1" spans="1:17" x14ac:dyDescent="0.25">
      <c r="A22" s="21" t="s">
        <v>508</v>
      </c>
      <c r="B22" s="22" t="s">
        <v>18</v>
      </c>
      <c r="C22" s="22" t="s">
        <v>419</v>
      </c>
      <c r="D22" s="22" t="s">
        <v>509</v>
      </c>
      <c r="E22" s="22" t="s">
        <v>510</v>
      </c>
      <c r="F22" s="22" t="s">
        <v>511</v>
      </c>
      <c r="G22" s="22" t="s">
        <v>72</v>
      </c>
      <c r="H22" s="9" t="s">
        <v>101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512</v>
      </c>
    </row>
    <row r="23" ht="24" customHeight="1" spans="1:17" x14ac:dyDescent="0.25">
      <c r="A23" s="21" t="s">
        <v>513</v>
      </c>
      <c r="B23" s="22" t="s">
        <v>18</v>
      </c>
      <c r="C23" s="22" t="s">
        <v>419</v>
      </c>
      <c r="D23" s="22" t="s">
        <v>514</v>
      </c>
      <c r="E23" s="22" t="s">
        <v>515</v>
      </c>
      <c r="F23" s="22" t="s">
        <v>516</v>
      </c>
      <c r="G23" s="22" t="s">
        <v>72</v>
      </c>
      <c r="H23" s="23" t="s">
        <v>63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517</v>
      </c>
    </row>
    <row r="24" ht="24" customHeight="1" spans="1:17" x14ac:dyDescent="0.25">
      <c r="A24" s="21" t="s">
        <v>518</v>
      </c>
      <c r="B24" s="22" t="s">
        <v>18</v>
      </c>
      <c r="C24" s="22" t="s">
        <v>419</v>
      </c>
      <c r="D24" s="22" t="s">
        <v>519</v>
      </c>
      <c r="E24" s="22" t="s">
        <v>520</v>
      </c>
      <c r="F24" s="22" t="s">
        <v>521</v>
      </c>
      <c r="G24" s="22" t="s">
        <v>72</v>
      </c>
      <c r="H24" s="9" t="s">
        <v>101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522</v>
      </c>
    </row>
    <row r="25" ht="24" customHeight="1" spans="1:17" x14ac:dyDescent="0.25">
      <c r="A25" s="21" t="s">
        <v>523</v>
      </c>
      <c r="B25" s="22" t="s">
        <v>18</v>
      </c>
      <c r="C25" s="22" t="s">
        <v>524</v>
      </c>
      <c r="D25" s="22" t="s">
        <v>525</v>
      </c>
      <c r="E25" s="22" t="s">
        <v>526</v>
      </c>
      <c r="F25" s="22" t="s">
        <v>422</v>
      </c>
      <c r="G25" s="22" t="s">
        <v>72</v>
      </c>
      <c r="H25" s="23" t="s">
        <v>63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423</v>
      </c>
    </row>
    <row r="26" ht="24" customHeight="1" spans="1:17" x14ac:dyDescent="0.25">
      <c r="A26" s="21" t="s">
        <v>527</v>
      </c>
      <c r="B26" s="22" t="s">
        <v>18</v>
      </c>
      <c r="C26" s="22" t="s">
        <v>524</v>
      </c>
      <c r="D26" s="22" t="s">
        <v>528</v>
      </c>
      <c r="E26" s="22" t="s">
        <v>529</v>
      </c>
      <c r="F26" s="22" t="s">
        <v>427</v>
      </c>
      <c r="G26" s="22" t="s">
        <v>72</v>
      </c>
      <c r="H26" s="23" t="s">
        <v>63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428</v>
      </c>
    </row>
    <row r="27" ht="24" customHeight="1" spans="1:17" x14ac:dyDescent="0.25">
      <c r="A27" s="21" t="s">
        <v>530</v>
      </c>
      <c r="B27" s="22" t="s">
        <v>18</v>
      </c>
      <c r="C27" s="22" t="s">
        <v>524</v>
      </c>
      <c r="D27" s="22" t="s">
        <v>531</v>
      </c>
      <c r="E27" s="22" t="s">
        <v>532</v>
      </c>
      <c r="F27" s="22" t="s">
        <v>432</v>
      </c>
      <c r="G27" s="22" t="s">
        <v>72</v>
      </c>
      <c r="H27" s="23" t="s">
        <v>63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433</v>
      </c>
    </row>
    <row r="28" ht="24" customHeight="1" spans="1:17" x14ac:dyDescent="0.25">
      <c r="A28" s="21" t="s">
        <v>533</v>
      </c>
      <c r="B28" s="22" t="s">
        <v>18</v>
      </c>
      <c r="C28" s="22" t="s">
        <v>524</v>
      </c>
      <c r="D28" s="22" t="s">
        <v>534</v>
      </c>
      <c r="E28" s="22" t="s">
        <v>535</v>
      </c>
      <c r="F28" s="22" t="s">
        <v>437</v>
      </c>
      <c r="G28" s="22" t="s">
        <v>165</v>
      </c>
      <c r="H28" s="23" t="s">
        <v>63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438</v>
      </c>
    </row>
    <row r="29" ht="24" customHeight="1" spans="1:17" x14ac:dyDescent="0.25">
      <c r="A29" s="21" t="s">
        <v>536</v>
      </c>
      <c r="B29" s="22" t="s">
        <v>18</v>
      </c>
      <c r="C29" s="22" t="s">
        <v>524</v>
      </c>
      <c r="D29" s="22" t="s">
        <v>537</v>
      </c>
      <c r="E29" s="22" t="s">
        <v>538</v>
      </c>
      <c r="F29" s="22" t="s">
        <v>442</v>
      </c>
      <c r="G29" s="22" t="s">
        <v>72</v>
      </c>
      <c r="H29" s="23" t="s">
        <v>63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443</v>
      </c>
    </row>
    <row r="30" ht="24" customHeight="1" spans="1:17" x14ac:dyDescent="0.25">
      <c r="A30" s="21" t="s">
        <v>539</v>
      </c>
      <c r="B30" s="22" t="s">
        <v>18</v>
      </c>
      <c r="C30" s="22" t="s">
        <v>524</v>
      </c>
      <c r="D30" s="22" t="s">
        <v>540</v>
      </c>
      <c r="E30" s="22" t="s">
        <v>541</v>
      </c>
      <c r="F30" s="22" t="s">
        <v>447</v>
      </c>
      <c r="G30" s="22" t="s">
        <v>448</v>
      </c>
      <c r="H30" s="23" t="s">
        <v>63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449</v>
      </c>
    </row>
    <row r="31" ht="24" customHeight="1" spans="1:17" x14ac:dyDescent="0.25">
      <c r="A31" s="21" t="s">
        <v>542</v>
      </c>
      <c r="B31" s="22" t="s">
        <v>18</v>
      </c>
      <c r="C31" s="22" t="s">
        <v>524</v>
      </c>
      <c r="D31" s="22" t="s">
        <v>543</v>
      </c>
      <c r="E31" s="22" t="s">
        <v>544</v>
      </c>
      <c r="F31" s="22" t="s">
        <v>453</v>
      </c>
      <c r="G31" s="22" t="s">
        <v>127</v>
      </c>
      <c r="H31" s="9" t="s">
        <v>101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454</v>
      </c>
    </row>
    <row r="32" ht="24" customHeight="1" spans="1:17" x14ac:dyDescent="0.25">
      <c r="A32" s="21" t="s">
        <v>545</v>
      </c>
      <c r="B32" s="22" t="s">
        <v>18</v>
      </c>
      <c r="C32" s="22" t="s">
        <v>524</v>
      </c>
      <c r="D32" s="22" t="s">
        <v>546</v>
      </c>
      <c r="E32" s="22" t="s">
        <v>547</v>
      </c>
      <c r="F32" s="22" t="s">
        <v>458</v>
      </c>
      <c r="G32" s="22" t="s">
        <v>72</v>
      </c>
      <c r="H32" s="9" t="s">
        <v>101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459</v>
      </c>
    </row>
    <row r="33" ht="24" customHeight="1" spans="1:17" x14ac:dyDescent="0.25">
      <c r="A33" s="21" t="s">
        <v>548</v>
      </c>
      <c r="B33" s="22" t="s">
        <v>18</v>
      </c>
      <c r="C33" s="22" t="s">
        <v>524</v>
      </c>
      <c r="D33" s="22" t="s">
        <v>549</v>
      </c>
      <c r="E33" s="22" t="s">
        <v>550</v>
      </c>
      <c r="F33" s="22" t="s">
        <v>463</v>
      </c>
      <c r="G33" s="22" t="s">
        <v>72</v>
      </c>
      <c r="H33" s="9" t="s">
        <v>101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464</v>
      </c>
    </row>
    <row r="34" ht="24" customHeight="1" spans="1:17" x14ac:dyDescent="0.25">
      <c r="A34" s="21" t="s">
        <v>551</v>
      </c>
      <c r="B34" s="22" t="s">
        <v>18</v>
      </c>
      <c r="C34" s="22" t="s">
        <v>524</v>
      </c>
      <c r="D34" s="22" t="s">
        <v>552</v>
      </c>
      <c r="E34" s="22" t="s">
        <v>553</v>
      </c>
      <c r="F34" s="22" t="s">
        <v>468</v>
      </c>
      <c r="G34" s="22" t="s">
        <v>72</v>
      </c>
      <c r="H34" s="9" t="s">
        <v>469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470</v>
      </c>
    </row>
    <row r="35" ht="24" customHeight="1" spans="1:17" x14ac:dyDescent="0.25">
      <c r="A35" s="21" t="s">
        <v>554</v>
      </c>
      <c r="B35" s="22" t="s">
        <v>18</v>
      </c>
      <c r="C35" s="22" t="s">
        <v>524</v>
      </c>
      <c r="D35" s="22" t="s">
        <v>555</v>
      </c>
      <c r="E35" s="22" t="s">
        <v>556</v>
      </c>
      <c r="F35" s="22" t="s">
        <v>474</v>
      </c>
      <c r="G35" s="22" t="s">
        <v>72</v>
      </c>
      <c r="H35" s="23" t="s">
        <v>63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475</v>
      </c>
    </row>
    <row r="36" ht="24" customHeight="1" spans="1:17" x14ac:dyDescent="0.25">
      <c r="A36" s="21" t="s">
        <v>557</v>
      </c>
      <c r="B36" s="22" t="s">
        <v>18</v>
      </c>
      <c r="C36" s="22" t="s">
        <v>524</v>
      </c>
      <c r="D36" s="22" t="s">
        <v>558</v>
      </c>
      <c r="E36" s="22" t="s">
        <v>559</v>
      </c>
      <c r="F36" s="22" t="s">
        <v>479</v>
      </c>
      <c r="G36" s="22" t="s">
        <v>72</v>
      </c>
      <c r="H36" s="23" t="s">
        <v>63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480</v>
      </c>
    </row>
    <row r="37" ht="24" customHeight="1" spans="1:17" x14ac:dyDescent="0.25">
      <c r="A37" s="21" t="s">
        <v>560</v>
      </c>
      <c r="B37" s="22" t="s">
        <v>18</v>
      </c>
      <c r="C37" s="22" t="s">
        <v>524</v>
      </c>
      <c r="D37" s="22" t="s">
        <v>561</v>
      </c>
      <c r="E37" s="22" t="s">
        <v>562</v>
      </c>
      <c r="F37" s="22" t="s">
        <v>484</v>
      </c>
      <c r="G37" s="22" t="s">
        <v>485</v>
      </c>
      <c r="H37" s="23" t="s">
        <v>63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486</v>
      </c>
    </row>
    <row r="38" ht="24" customHeight="1" spans="1:17" x14ac:dyDescent="0.25">
      <c r="A38" s="21" t="s">
        <v>563</v>
      </c>
      <c r="B38" s="22" t="s">
        <v>18</v>
      </c>
      <c r="C38" s="22" t="s">
        <v>524</v>
      </c>
      <c r="D38" s="22" t="s">
        <v>564</v>
      </c>
      <c r="E38" s="22" t="s">
        <v>565</v>
      </c>
      <c r="F38" s="22" t="s">
        <v>490</v>
      </c>
      <c r="G38" s="22" t="s">
        <v>72</v>
      </c>
      <c r="H38" s="23" t="s">
        <v>63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491</v>
      </c>
    </row>
    <row r="39" ht="24" customHeight="1" spans="1:17" x14ac:dyDescent="0.25">
      <c r="A39" s="21" t="s">
        <v>566</v>
      </c>
      <c r="B39" s="22" t="s">
        <v>18</v>
      </c>
      <c r="C39" s="22" t="s">
        <v>524</v>
      </c>
      <c r="D39" s="22" t="s">
        <v>567</v>
      </c>
      <c r="E39" s="22" t="s">
        <v>568</v>
      </c>
      <c r="F39" s="22" t="s">
        <v>495</v>
      </c>
      <c r="G39" s="22" t="s">
        <v>72</v>
      </c>
      <c r="H39" s="9" t="s">
        <v>101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496</v>
      </c>
    </row>
    <row r="40" ht="24" customHeight="1" spans="1:17" x14ac:dyDescent="0.25">
      <c r="A40" s="21" t="s">
        <v>569</v>
      </c>
      <c r="B40" s="22" t="s">
        <v>18</v>
      </c>
      <c r="C40" s="22" t="s">
        <v>524</v>
      </c>
      <c r="D40" s="22" t="s">
        <v>570</v>
      </c>
      <c r="E40" s="22" t="s">
        <v>571</v>
      </c>
      <c r="F40" s="22" t="s">
        <v>500</v>
      </c>
      <c r="G40" s="22" t="s">
        <v>79</v>
      </c>
      <c r="H40" s="9" t="s">
        <v>101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501</v>
      </c>
    </row>
    <row r="41" ht="24" customHeight="1" spans="1:17" x14ac:dyDescent="0.25">
      <c r="A41" s="21" t="s">
        <v>572</v>
      </c>
      <c r="B41" s="22" t="s">
        <v>18</v>
      </c>
      <c r="C41" s="22" t="s">
        <v>524</v>
      </c>
      <c r="D41" s="22" t="s">
        <v>573</v>
      </c>
      <c r="E41" s="22" t="s">
        <v>574</v>
      </c>
      <c r="F41" s="22" t="s">
        <v>505</v>
      </c>
      <c r="G41" s="22" t="s">
        <v>506</v>
      </c>
      <c r="H41" s="9" t="s">
        <v>469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507</v>
      </c>
    </row>
    <row r="42" ht="24" customHeight="1" spans="1:17" x14ac:dyDescent="0.25">
      <c r="A42" s="21" t="s">
        <v>575</v>
      </c>
      <c r="B42" s="22" t="s">
        <v>18</v>
      </c>
      <c r="C42" s="22" t="s">
        <v>524</v>
      </c>
      <c r="D42" s="22" t="s">
        <v>576</v>
      </c>
      <c r="E42" s="22" t="s">
        <v>577</v>
      </c>
      <c r="F42" s="22" t="s">
        <v>511</v>
      </c>
      <c r="G42" s="22" t="s">
        <v>72</v>
      </c>
      <c r="H42" s="9" t="s">
        <v>101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512</v>
      </c>
    </row>
    <row r="43" ht="24" customHeight="1" spans="1:17" x14ac:dyDescent="0.25">
      <c r="A43" s="21" t="s">
        <v>578</v>
      </c>
      <c r="B43" s="22" t="s">
        <v>18</v>
      </c>
      <c r="C43" s="22" t="s">
        <v>524</v>
      </c>
      <c r="D43" s="22" t="s">
        <v>579</v>
      </c>
      <c r="E43" s="22" t="s">
        <v>580</v>
      </c>
      <c r="F43" s="22" t="s">
        <v>516</v>
      </c>
      <c r="G43" s="22" t="s">
        <v>72</v>
      </c>
      <c r="H43" s="23" t="s">
        <v>63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517</v>
      </c>
    </row>
    <row r="44" ht="24" customHeight="1" spans="1:17" x14ac:dyDescent="0.25">
      <c r="A44" s="21" t="s">
        <v>581</v>
      </c>
      <c r="B44" s="22" t="s">
        <v>18</v>
      </c>
      <c r="C44" s="22" t="s">
        <v>524</v>
      </c>
      <c r="D44" s="22" t="s">
        <v>582</v>
      </c>
      <c r="E44" s="22" t="s">
        <v>583</v>
      </c>
      <c r="F44" s="22" t="s">
        <v>521</v>
      </c>
      <c r="G44" s="22" t="s">
        <v>72</v>
      </c>
      <c r="H44" s="9" t="s">
        <v>101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522</v>
      </c>
    </row>
    <row r="45" ht="24" customHeight="1" spans="1:17" x14ac:dyDescent="0.25">
      <c r="A45" s="21" t="s">
        <v>584</v>
      </c>
      <c r="B45" s="22" t="s">
        <v>18</v>
      </c>
      <c r="C45" s="22" t="s">
        <v>585</v>
      </c>
      <c r="D45" s="22" t="s">
        <v>586</v>
      </c>
      <c r="E45" s="22" t="s">
        <v>587</v>
      </c>
      <c r="F45" s="22" t="s">
        <v>422</v>
      </c>
      <c r="G45" s="22" t="s">
        <v>72</v>
      </c>
      <c r="H45" s="23" t="s">
        <v>63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423</v>
      </c>
    </row>
    <row r="46" ht="24" customHeight="1" spans="1:17" x14ac:dyDescent="0.25">
      <c r="A46" s="21" t="s">
        <v>588</v>
      </c>
      <c r="B46" s="22" t="s">
        <v>18</v>
      </c>
      <c r="C46" s="22" t="s">
        <v>585</v>
      </c>
      <c r="D46" s="22" t="s">
        <v>589</v>
      </c>
      <c r="E46" s="22" t="s">
        <v>590</v>
      </c>
      <c r="F46" s="22" t="s">
        <v>427</v>
      </c>
      <c r="G46" s="22" t="s">
        <v>72</v>
      </c>
      <c r="H46" s="23" t="s">
        <v>63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428</v>
      </c>
    </row>
    <row r="47" ht="24" customHeight="1" spans="1:17" x14ac:dyDescent="0.25">
      <c r="A47" s="21" t="s">
        <v>591</v>
      </c>
      <c r="B47" s="22" t="s">
        <v>18</v>
      </c>
      <c r="C47" s="22" t="s">
        <v>585</v>
      </c>
      <c r="D47" s="22" t="s">
        <v>592</v>
      </c>
      <c r="E47" s="22" t="s">
        <v>593</v>
      </c>
      <c r="F47" s="22" t="s">
        <v>432</v>
      </c>
      <c r="G47" s="22" t="s">
        <v>72</v>
      </c>
      <c r="H47" s="23" t="s">
        <v>63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433</v>
      </c>
    </row>
    <row r="48" ht="24" customHeight="1" spans="1:17" x14ac:dyDescent="0.25">
      <c r="A48" s="21" t="s">
        <v>594</v>
      </c>
      <c r="B48" s="22" t="s">
        <v>18</v>
      </c>
      <c r="C48" s="22" t="s">
        <v>585</v>
      </c>
      <c r="D48" s="22" t="s">
        <v>595</v>
      </c>
      <c r="E48" s="22" t="s">
        <v>596</v>
      </c>
      <c r="F48" s="22" t="s">
        <v>437</v>
      </c>
      <c r="G48" s="22" t="s">
        <v>165</v>
      </c>
      <c r="H48" s="23" t="s">
        <v>63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438</v>
      </c>
    </row>
    <row r="49" ht="24" customHeight="1" spans="1:17" x14ac:dyDescent="0.25">
      <c r="A49" s="21" t="s">
        <v>597</v>
      </c>
      <c r="B49" s="22" t="s">
        <v>18</v>
      </c>
      <c r="C49" s="22" t="s">
        <v>585</v>
      </c>
      <c r="D49" s="22" t="s">
        <v>598</v>
      </c>
      <c r="E49" s="22" t="s">
        <v>599</v>
      </c>
      <c r="F49" s="22" t="s">
        <v>442</v>
      </c>
      <c r="G49" s="22" t="s">
        <v>72</v>
      </c>
      <c r="H49" s="23" t="s">
        <v>63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443</v>
      </c>
    </row>
    <row r="50" ht="24" customHeight="1" spans="1:17" x14ac:dyDescent="0.25">
      <c r="A50" s="21" t="s">
        <v>600</v>
      </c>
      <c r="B50" s="22" t="s">
        <v>18</v>
      </c>
      <c r="C50" s="22" t="s">
        <v>585</v>
      </c>
      <c r="D50" s="22" t="s">
        <v>601</v>
      </c>
      <c r="E50" s="22" t="s">
        <v>602</v>
      </c>
      <c r="F50" s="22" t="s">
        <v>447</v>
      </c>
      <c r="G50" s="22" t="s">
        <v>448</v>
      </c>
      <c r="H50" s="23" t="s">
        <v>63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449</v>
      </c>
    </row>
    <row r="51" ht="24" customHeight="1" spans="1:17" x14ac:dyDescent="0.25">
      <c r="A51" s="21" t="s">
        <v>603</v>
      </c>
      <c r="B51" s="22" t="s">
        <v>18</v>
      </c>
      <c r="C51" s="22" t="s">
        <v>585</v>
      </c>
      <c r="D51" s="22" t="s">
        <v>604</v>
      </c>
      <c r="E51" s="22" t="s">
        <v>605</v>
      </c>
      <c r="F51" s="22" t="s">
        <v>453</v>
      </c>
      <c r="G51" s="22" t="s">
        <v>127</v>
      </c>
      <c r="H51" s="9" t="s">
        <v>101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454</v>
      </c>
    </row>
    <row r="52" ht="24" customHeight="1" spans="1:17" x14ac:dyDescent="0.25">
      <c r="A52" s="21" t="s">
        <v>606</v>
      </c>
      <c r="B52" s="22" t="s">
        <v>18</v>
      </c>
      <c r="C52" s="22" t="s">
        <v>585</v>
      </c>
      <c r="D52" s="22" t="s">
        <v>607</v>
      </c>
      <c r="E52" s="22" t="s">
        <v>608</v>
      </c>
      <c r="F52" s="22" t="s">
        <v>458</v>
      </c>
      <c r="G52" s="22" t="s">
        <v>72</v>
      </c>
      <c r="H52" s="9" t="s">
        <v>101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459</v>
      </c>
    </row>
    <row r="53" ht="24" customHeight="1" spans="1:17" x14ac:dyDescent="0.25">
      <c r="A53" s="21" t="s">
        <v>609</v>
      </c>
      <c r="B53" s="22" t="s">
        <v>18</v>
      </c>
      <c r="C53" s="22" t="s">
        <v>585</v>
      </c>
      <c r="D53" s="22" t="s">
        <v>610</v>
      </c>
      <c r="E53" s="22" t="s">
        <v>611</v>
      </c>
      <c r="F53" s="22" t="s">
        <v>463</v>
      </c>
      <c r="G53" s="22" t="s">
        <v>72</v>
      </c>
      <c r="H53" s="9" t="s">
        <v>101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464</v>
      </c>
    </row>
    <row r="54" ht="24" customHeight="1" spans="1:17" x14ac:dyDescent="0.25">
      <c r="A54" s="21" t="s">
        <v>612</v>
      </c>
      <c r="B54" s="22" t="s">
        <v>18</v>
      </c>
      <c r="C54" s="22" t="s">
        <v>585</v>
      </c>
      <c r="D54" s="22" t="s">
        <v>613</v>
      </c>
      <c r="E54" s="22" t="s">
        <v>614</v>
      </c>
      <c r="F54" s="22" t="s">
        <v>468</v>
      </c>
      <c r="G54" s="22" t="s">
        <v>72</v>
      </c>
      <c r="H54" s="9" t="s">
        <v>469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470</v>
      </c>
    </row>
    <row r="55" ht="24" customHeight="1" spans="1:17" x14ac:dyDescent="0.25">
      <c r="A55" s="21" t="s">
        <v>615</v>
      </c>
      <c r="B55" s="22" t="s">
        <v>18</v>
      </c>
      <c r="C55" s="22" t="s">
        <v>585</v>
      </c>
      <c r="D55" s="22" t="s">
        <v>616</v>
      </c>
      <c r="E55" s="22" t="s">
        <v>617</v>
      </c>
      <c r="F55" s="22" t="s">
        <v>474</v>
      </c>
      <c r="G55" s="22" t="s">
        <v>72</v>
      </c>
      <c r="H55" s="23" t="s">
        <v>63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475</v>
      </c>
    </row>
    <row r="56" ht="24" customHeight="1" spans="1:17" x14ac:dyDescent="0.25">
      <c r="A56" s="21" t="s">
        <v>618</v>
      </c>
      <c r="B56" s="22" t="s">
        <v>18</v>
      </c>
      <c r="C56" s="22" t="s">
        <v>585</v>
      </c>
      <c r="D56" s="22" t="s">
        <v>619</v>
      </c>
      <c r="E56" s="22" t="s">
        <v>620</v>
      </c>
      <c r="F56" s="22" t="s">
        <v>479</v>
      </c>
      <c r="G56" s="22" t="s">
        <v>72</v>
      </c>
      <c r="H56" s="23" t="s">
        <v>63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480</v>
      </c>
    </row>
    <row r="57" ht="24" customHeight="1" spans="1:17" x14ac:dyDescent="0.25">
      <c r="A57" s="21" t="s">
        <v>621</v>
      </c>
      <c r="B57" s="22" t="s">
        <v>18</v>
      </c>
      <c r="C57" s="22" t="s">
        <v>585</v>
      </c>
      <c r="D57" s="22" t="s">
        <v>622</v>
      </c>
      <c r="E57" s="22" t="s">
        <v>623</v>
      </c>
      <c r="F57" s="22" t="s">
        <v>484</v>
      </c>
      <c r="G57" s="22" t="s">
        <v>485</v>
      </c>
      <c r="H57" s="23" t="s">
        <v>63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486</v>
      </c>
    </row>
    <row r="58" ht="24" customHeight="1" spans="1:17" x14ac:dyDescent="0.25">
      <c r="A58" s="21" t="s">
        <v>624</v>
      </c>
      <c r="B58" s="22" t="s">
        <v>18</v>
      </c>
      <c r="C58" s="22" t="s">
        <v>585</v>
      </c>
      <c r="D58" s="22" t="s">
        <v>625</v>
      </c>
      <c r="E58" s="22" t="s">
        <v>626</v>
      </c>
      <c r="F58" s="22" t="s">
        <v>490</v>
      </c>
      <c r="G58" s="22" t="s">
        <v>72</v>
      </c>
      <c r="H58" s="23" t="s">
        <v>63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491</v>
      </c>
    </row>
    <row r="59" ht="24" customHeight="1" spans="1:17" x14ac:dyDescent="0.25">
      <c r="A59" s="21" t="s">
        <v>627</v>
      </c>
      <c r="B59" s="22" t="s">
        <v>18</v>
      </c>
      <c r="C59" s="22" t="s">
        <v>585</v>
      </c>
      <c r="D59" s="22" t="s">
        <v>628</v>
      </c>
      <c r="E59" s="22" t="s">
        <v>629</v>
      </c>
      <c r="F59" s="22" t="s">
        <v>495</v>
      </c>
      <c r="G59" s="22" t="s">
        <v>72</v>
      </c>
      <c r="H59" s="9" t="s">
        <v>101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496</v>
      </c>
    </row>
    <row r="60" ht="24" customHeight="1" spans="1:17" x14ac:dyDescent="0.25">
      <c r="A60" s="21" t="s">
        <v>630</v>
      </c>
      <c r="B60" s="22" t="s">
        <v>18</v>
      </c>
      <c r="C60" s="22" t="s">
        <v>585</v>
      </c>
      <c r="D60" s="22" t="s">
        <v>631</v>
      </c>
      <c r="E60" s="22" t="s">
        <v>632</v>
      </c>
      <c r="F60" s="22" t="s">
        <v>500</v>
      </c>
      <c r="G60" s="22" t="s">
        <v>79</v>
      </c>
      <c r="H60" s="9" t="s">
        <v>101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501</v>
      </c>
    </row>
    <row r="61" ht="24" customHeight="1" spans="1:17" x14ac:dyDescent="0.25">
      <c r="A61" s="21" t="s">
        <v>633</v>
      </c>
      <c r="B61" s="22" t="s">
        <v>18</v>
      </c>
      <c r="C61" s="22" t="s">
        <v>585</v>
      </c>
      <c r="D61" s="22" t="s">
        <v>634</v>
      </c>
      <c r="E61" s="22" t="s">
        <v>635</v>
      </c>
      <c r="F61" s="22" t="s">
        <v>505</v>
      </c>
      <c r="G61" s="22" t="s">
        <v>506</v>
      </c>
      <c r="H61" s="9" t="s">
        <v>469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507</v>
      </c>
    </row>
    <row r="62" ht="24" customHeight="1" spans="1:17" x14ac:dyDescent="0.25">
      <c r="A62" s="21" t="s">
        <v>636</v>
      </c>
      <c r="B62" s="22" t="s">
        <v>18</v>
      </c>
      <c r="C62" s="22" t="s">
        <v>585</v>
      </c>
      <c r="D62" s="22" t="s">
        <v>637</v>
      </c>
      <c r="E62" s="22" t="s">
        <v>638</v>
      </c>
      <c r="F62" s="22" t="s">
        <v>511</v>
      </c>
      <c r="G62" s="22" t="s">
        <v>72</v>
      </c>
      <c r="H62" s="9" t="s">
        <v>101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512</v>
      </c>
    </row>
    <row r="63" ht="24" customHeight="1" spans="1:17" x14ac:dyDescent="0.25">
      <c r="A63" s="21" t="s">
        <v>639</v>
      </c>
      <c r="B63" s="22" t="s">
        <v>18</v>
      </c>
      <c r="C63" s="22" t="s">
        <v>585</v>
      </c>
      <c r="D63" s="22" t="s">
        <v>640</v>
      </c>
      <c r="E63" s="22" t="s">
        <v>641</v>
      </c>
      <c r="F63" s="22" t="s">
        <v>516</v>
      </c>
      <c r="G63" s="22" t="s">
        <v>72</v>
      </c>
      <c r="H63" s="23" t="s">
        <v>63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517</v>
      </c>
    </row>
    <row r="64" ht="24" customHeight="1" spans="1:17" x14ac:dyDescent="0.25">
      <c r="A64" s="21" t="s">
        <v>642</v>
      </c>
      <c r="B64" s="22" t="s">
        <v>18</v>
      </c>
      <c r="C64" s="22" t="s">
        <v>585</v>
      </c>
      <c r="D64" s="22" t="s">
        <v>643</v>
      </c>
      <c r="E64" s="22" t="s">
        <v>644</v>
      </c>
      <c r="F64" s="22" t="s">
        <v>521</v>
      </c>
      <c r="G64" s="22" t="s">
        <v>72</v>
      </c>
      <c r="H64" s="9" t="s">
        <v>101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522</v>
      </c>
    </row>
    <row r="65" ht="24" customHeight="1" spans="1:17" x14ac:dyDescent="0.25">
      <c r="A65" s="21" t="s">
        <v>645</v>
      </c>
      <c r="B65" s="22" t="s">
        <v>18</v>
      </c>
      <c r="C65" s="22" t="s">
        <v>646</v>
      </c>
      <c r="D65" s="22" t="s">
        <v>647</v>
      </c>
      <c r="E65" s="22" t="s">
        <v>648</v>
      </c>
      <c r="F65" s="22" t="s">
        <v>422</v>
      </c>
      <c r="G65" s="22" t="s">
        <v>72</v>
      </c>
      <c r="H65" s="23" t="s">
        <v>63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423</v>
      </c>
    </row>
    <row r="66" ht="24" customHeight="1" spans="1:17" x14ac:dyDescent="0.25">
      <c r="A66" s="21" t="s">
        <v>649</v>
      </c>
      <c r="B66" s="22" t="s">
        <v>18</v>
      </c>
      <c r="C66" s="22" t="s">
        <v>646</v>
      </c>
      <c r="D66" s="22" t="s">
        <v>650</v>
      </c>
      <c r="E66" s="22" t="s">
        <v>651</v>
      </c>
      <c r="F66" s="22" t="s">
        <v>427</v>
      </c>
      <c r="G66" s="22" t="s">
        <v>72</v>
      </c>
      <c r="H66" s="23" t="s">
        <v>63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428</v>
      </c>
    </row>
    <row r="67" ht="24" customHeight="1" spans="1:17" x14ac:dyDescent="0.25">
      <c r="A67" s="21" t="s">
        <v>652</v>
      </c>
      <c r="B67" s="22" t="s">
        <v>18</v>
      </c>
      <c r="C67" s="22" t="s">
        <v>646</v>
      </c>
      <c r="D67" s="22" t="s">
        <v>653</v>
      </c>
      <c r="E67" s="22" t="s">
        <v>654</v>
      </c>
      <c r="F67" s="22" t="s">
        <v>432</v>
      </c>
      <c r="G67" s="22" t="s">
        <v>72</v>
      </c>
      <c r="H67" s="23" t="s">
        <v>63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433</v>
      </c>
    </row>
    <row r="68" ht="24" customHeight="1" spans="1:17" x14ac:dyDescent="0.25">
      <c r="A68" s="21" t="s">
        <v>655</v>
      </c>
      <c r="B68" s="22" t="s">
        <v>18</v>
      </c>
      <c r="C68" s="22" t="s">
        <v>646</v>
      </c>
      <c r="D68" s="22" t="s">
        <v>656</v>
      </c>
      <c r="E68" s="22" t="s">
        <v>657</v>
      </c>
      <c r="F68" s="22" t="s">
        <v>437</v>
      </c>
      <c r="G68" s="22" t="s">
        <v>165</v>
      </c>
      <c r="H68" s="23" t="s">
        <v>63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438</v>
      </c>
    </row>
    <row r="69" ht="24" customHeight="1" spans="1:17" x14ac:dyDescent="0.25">
      <c r="A69" s="21" t="s">
        <v>658</v>
      </c>
      <c r="B69" s="22" t="s">
        <v>18</v>
      </c>
      <c r="C69" s="22" t="s">
        <v>646</v>
      </c>
      <c r="D69" s="22" t="s">
        <v>659</v>
      </c>
      <c r="E69" s="22" t="s">
        <v>660</v>
      </c>
      <c r="F69" s="22" t="s">
        <v>442</v>
      </c>
      <c r="G69" s="22" t="s">
        <v>72</v>
      </c>
      <c r="H69" s="23" t="s">
        <v>63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443</v>
      </c>
    </row>
    <row r="70" ht="24" customHeight="1" spans="1:17" x14ac:dyDescent="0.25">
      <c r="A70" s="21" t="s">
        <v>661</v>
      </c>
      <c r="B70" s="22" t="s">
        <v>18</v>
      </c>
      <c r="C70" s="22" t="s">
        <v>646</v>
      </c>
      <c r="D70" s="22" t="s">
        <v>662</v>
      </c>
      <c r="E70" s="22" t="s">
        <v>663</v>
      </c>
      <c r="F70" s="22" t="s">
        <v>447</v>
      </c>
      <c r="G70" s="22" t="s">
        <v>448</v>
      </c>
      <c r="H70" s="23" t="s">
        <v>63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449</v>
      </c>
    </row>
    <row r="71" ht="24" customHeight="1" spans="1:17" x14ac:dyDescent="0.25">
      <c r="A71" s="21" t="s">
        <v>664</v>
      </c>
      <c r="B71" s="22" t="s">
        <v>18</v>
      </c>
      <c r="C71" s="22" t="s">
        <v>646</v>
      </c>
      <c r="D71" s="22" t="s">
        <v>665</v>
      </c>
      <c r="E71" s="22" t="s">
        <v>666</v>
      </c>
      <c r="F71" s="22" t="s">
        <v>453</v>
      </c>
      <c r="G71" s="22" t="s">
        <v>127</v>
      </c>
      <c r="H71" s="9" t="s">
        <v>101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454</v>
      </c>
    </row>
    <row r="72" ht="24" customHeight="1" spans="1:17" x14ac:dyDescent="0.25">
      <c r="A72" s="21" t="s">
        <v>667</v>
      </c>
      <c r="B72" s="22" t="s">
        <v>18</v>
      </c>
      <c r="C72" s="22" t="s">
        <v>646</v>
      </c>
      <c r="D72" s="22" t="s">
        <v>668</v>
      </c>
      <c r="E72" s="22" t="s">
        <v>669</v>
      </c>
      <c r="F72" s="22" t="s">
        <v>458</v>
      </c>
      <c r="G72" s="22" t="s">
        <v>72</v>
      </c>
      <c r="H72" s="9" t="s">
        <v>101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459</v>
      </c>
    </row>
    <row r="73" ht="24" customHeight="1" spans="1:17" x14ac:dyDescent="0.25">
      <c r="A73" s="21" t="s">
        <v>670</v>
      </c>
      <c r="B73" s="22" t="s">
        <v>18</v>
      </c>
      <c r="C73" s="22" t="s">
        <v>646</v>
      </c>
      <c r="D73" s="22" t="s">
        <v>671</v>
      </c>
      <c r="E73" s="22" t="s">
        <v>672</v>
      </c>
      <c r="F73" s="22" t="s">
        <v>463</v>
      </c>
      <c r="G73" s="22" t="s">
        <v>72</v>
      </c>
      <c r="H73" s="9" t="s">
        <v>101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464</v>
      </c>
    </row>
    <row r="74" ht="24" customHeight="1" spans="1:17" x14ac:dyDescent="0.25">
      <c r="A74" s="21" t="s">
        <v>673</v>
      </c>
      <c r="B74" s="22" t="s">
        <v>18</v>
      </c>
      <c r="C74" s="22" t="s">
        <v>646</v>
      </c>
      <c r="D74" s="22" t="s">
        <v>674</v>
      </c>
      <c r="E74" s="22" t="s">
        <v>675</v>
      </c>
      <c r="F74" s="22" t="s">
        <v>468</v>
      </c>
      <c r="G74" s="22" t="s">
        <v>72</v>
      </c>
      <c r="H74" s="9" t="s">
        <v>469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470</v>
      </c>
    </row>
    <row r="75" ht="24" customHeight="1" spans="1:17" x14ac:dyDescent="0.25">
      <c r="A75" s="21" t="s">
        <v>676</v>
      </c>
      <c r="B75" s="22" t="s">
        <v>18</v>
      </c>
      <c r="C75" s="22" t="s">
        <v>646</v>
      </c>
      <c r="D75" s="22" t="s">
        <v>677</v>
      </c>
      <c r="E75" s="22" t="s">
        <v>678</v>
      </c>
      <c r="F75" s="22" t="s">
        <v>474</v>
      </c>
      <c r="G75" s="22" t="s">
        <v>72</v>
      </c>
      <c r="H75" s="23" t="s">
        <v>63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475</v>
      </c>
    </row>
    <row r="76" ht="24" customHeight="1" spans="1:17" x14ac:dyDescent="0.25">
      <c r="A76" s="21" t="s">
        <v>679</v>
      </c>
      <c r="B76" s="22" t="s">
        <v>18</v>
      </c>
      <c r="C76" s="22" t="s">
        <v>646</v>
      </c>
      <c r="D76" s="22" t="s">
        <v>680</v>
      </c>
      <c r="E76" s="22" t="s">
        <v>681</v>
      </c>
      <c r="F76" s="22" t="s">
        <v>479</v>
      </c>
      <c r="G76" s="22" t="s">
        <v>72</v>
      </c>
      <c r="H76" s="23" t="s">
        <v>63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480</v>
      </c>
    </row>
    <row r="77" ht="24" customHeight="1" spans="1:17" x14ac:dyDescent="0.25">
      <c r="A77" s="21" t="s">
        <v>682</v>
      </c>
      <c r="B77" s="22" t="s">
        <v>18</v>
      </c>
      <c r="C77" s="22" t="s">
        <v>646</v>
      </c>
      <c r="D77" s="22" t="s">
        <v>683</v>
      </c>
      <c r="E77" s="22" t="s">
        <v>684</v>
      </c>
      <c r="F77" s="22" t="s">
        <v>484</v>
      </c>
      <c r="G77" s="22" t="s">
        <v>485</v>
      </c>
      <c r="H77" s="23" t="s">
        <v>63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486</v>
      </c>
    </row>
    <row r="78" ht="24" customHeight="1" spans="1:17" x14ac:dyDescent="0.25">
      <c r="A78" s="21" t="s">
        <v>685</v>
      </c>
      <c r="B78" s="22" t="s">
        <v>18</v>
      </c>
      <c r="C78" s="22" t="s">
        <v>646</v>
      </c>
      <c r="D78" s="22" t="s">
        <v>686</v>
      </c>
      <c r="E78" s="22" t="s">
        <v>687</v>
      </c>
      <c r="F78" s="22" t="s">
        <v>490</v>
      </c>
      <c r="G78" s="22" t="s">
        <v>72</v>
      </c>
      <c r="H78" s="23" t="s">
        <v>63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491</v>
      </c>
    </row>
    <row r="79" ht="24" customHeight="1" spans="1:17" x14ac:dyDescent="0.25">
      <c r="A79" s="21" t="s">
        <v>688</v>
      </c>
      <c r="B79" s="22" t="s">
        <v>18</v>
      </c>
      <c r="C79" s="22" t="s">
        <v>646</v>
      </c>
      <c r="D79" s="22" t="s">
        <v>689</v>
      </c>
      <c r="E79" s="22" t="s">
        <v>690</v>
      </c>
      <c r="F79" s="22" t="s">
        <v>495</v>
      </c>
      <c r="G79" s="22" t="s">
        <v>72</v>
      </c>
      <c r="H79" s="9" t="s">
        <v>101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496</v>
      </c>
    </row>
    <row r="80" ht="24" customHeight="1" spans="1:17" x14ac:dyDescent="0.25">
      <c r="A80" s="21" t="s">
        <v>691</v>
      </c>
      <c r="B80" s="22" t="s">
        <v>18</v>
      </c>
      <c r="C80" s="22" t="s">
        <v>646</v>
      </c>
      <c r="D80" s="22" t="s">
        <v>692</v>
      </c>
      <c r="E80" s="22" t="s">
        <v>693</v>
      </c>
      <c r="F80" s="22" t="s">
        <v>500</v>
      </c>
      <c r="G80" s="22" t="s">
        <v>79</v>
      </c>
      <c r="H80" s="9" t="s">
        <v>101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501</v>
      </c>
    </row>
    <row r="81" ht="24" customHeight="1" spans="1:17" x14ac:dyDescent="0.25">
      <c r="A81" s="21" t="s">
        <v>694</v>
      </c>
      <c r="B81" s="22" t="s">
        <v>18</v>
      </c>
      <c r="C81" s="22" t="s">
        <v>646</v>
      </c>
      <c r="D81" s="22" t="s">
        <v>695</v>
      </c>
      <c r="E81" s="22" t="s">
        <v>696</v>
      </c>
      <c r="F81" s="22" t="s">
        <v>505</v>
      </c>
      <c r="G81" s="22" t="s">
        <v>506</v>
      </c>
      <c r="H81" s="9" t="s">
        <v>469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507</v>
      </c>
    </row>
    <row r="82" ht="24" customHeight="1" spans="1:17" x14ac:dyDescent="0.25">
      <c r="A82" s="21" t="s">
        <v>697</v>
      </c>
      <c r="B82" s="22" t="s">
        <v>18</v>
      </c>
      <c r="C82" s="22" t="s">
        <v>646</v>
      </c>
      <c r="D82" s="22" t="s">
        <v>698</v>
      </c>
      <c r="E82" s="22" t="s">
        <v>699</v>
      </c>
      <c r="F82" s="22" t="s">
        <v>511</v>
      </c>
      <c r="G82" s="22" t="s">
        <v>72</v>
      </c>
      <c r="H82" s="9" t="s">
        <v>101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512</v>
      </c>
    </row>
    <row r="83" ht="24" customHeight="1" spans="1:17" x14ac:dyDescent="0.25">
      <c r="A83" s="21" t="s">
        <v>700</v>
      </c>
      <c r="B83" s="22" t="s">
        <v>18</v>
      </c>
      <c r="C83" s="22" t="s">
        <v>646</v>
      </c>
      <c r="D83" s="22" t="s">
        <v>701</v>
      </c>
      <c r="E83" s="22" t="s">
        <v>702</v>
      </c>
      <c r="F83" s="22" t="s">
        <v>516</v>
      </c>
      <c r="G83" s="22" t="s">
        <v>72</v>
      </c>
      <c r="H83" s="23" t="s">
        <v>63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517</v>
      </c>
    </row>
    <row r="84" ht="24" customHeight="1" spans="1:17" x14ac:dyDescent="0.25">
      <c r="A84" s="21" t="s">
        <v>703</v>
      </c>
      <c r="B84" s="22" t="s">
        <v>18</v>
      </c>
      <c r="C84" s="22" t="s">
        <v>646</v>
      </c>
      <c r="D84" s="22" t="s">
        <v>704</v>
      </c>
      <c r="E84" s="22" t="s">
        <v>705</v>
      </c>
      <c r="F84" s="22" t="s">
        <v>521</v>
      </c>
      <c r="G84" s="22" t="s">
        <v>72</v>
      </c>
      <c r="H84" s="9" t="s">
        <v>101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522</v>
      </c>
    </row>
    <row r="85" ht="24" customHeight="1" spans="1:17" x14ac:dyDescent="0.25">
      <c r="A85" s="21" t="s">
        <v>706</v>
      </c>
      <c r="B85" s="22" t="s">
        <v>18</v>
      </c>
      <c r="C85" s="22" t="s">
        <v>707</v>
      </c>
      <c r="D85" s="22" t="s">
        <v>708</v>
      </c>
      <c r="E85" s="22" t="s">
        <v>709</v>
      </c>
      <c r="F85" s="22" t="s">
        <v>422</v>
      </c>
      <c r="G85" s="22" t="s">
        <v>72</v>
      </c>
      <c r="H85" s="23" t="s">
        <v>63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423</v>
      </c>
    </row>
    <row r="86" ht="24" customHeight="1" spans="1:17" x14ac:dyDescent="0.25">
      <c r="A86" s="21" t="s">
        <v>710</v>
      </c>
      <c r="B86" s="22" t="s">
        <v>18</v>
      </c>
      <c r="C86" s="22" t="s">
        <v>707</v>
      </c>
      <c r="D86" s="22" t="s">
        <v>711</v>
      </c>
      <c r="E86" s="22" t="s">
        <v>712</v>
      </c>
      <c r="F86" s="22" t="s">
        <v>427</v>
      </c>
      <c r="G86" s="22" t="s">
        <v>72</v>
      </c>
      <c r="H86" s="23" t="s">
        <v>63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428</v>
      </c>
    </row>
    <row r="87" ht="24" customHeight="1" spans="1:17" x14ac:dyDescent="0.25">
      <c r="A87" s="21" t="s">
        <v>713</v>
      </c>
      <c r="B87" s="22" t="s">
        <v>18</v>
      </c>
      <c r="C87" s="22" t="s">
        <v>707</v>
      </c>
      <c r="D87" s="22" t="s">
        <v>714</v>
      </c>
      <c r="E87" s="22" t="s">
        <v>715</v>
      </c>
      <c r="F87" s="22" t="s">
        <v>432</v>
      </c>
      <c r="G87" s="22" t="s">
        <v>72</v>
      </c>
      <c r="H87" s="23" t="s">
        <v>63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433</v>
      </c>
    </row>
    <row r="88" ht="24" customHeight="1" spans="1:17" x14ac:dyDescent="0.25">
      <c r="A88" s="21" t="s">
        <v>716</v>
      </c>
      <c r="B88" s="22" t="s">
        <v>18</v>
      </c>
      <c r="C88" s="22" t="s">
        <v>707</v>
      </c>
      <c r="D88" s="22" t="s">
        <v>717</v>
      </c>
      <c r="E88" s="22" t="s">
        <v>718</v>
      </c>
      <c r="F88" s="22" t="s">
        <v>437</v>
      </c>
      <c r="G88" s="22" t="s">
        <v>165</v>
      </c>
      <c r="H88" s="23" t="s">
        <v>63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438</v>
      </c>
    </row>
    <row r="89" ht="24" customHeight="1" spans="1:17" x14ac:dyDescent="0.25">
      <c r="A89" s="21" t="s">
        <v>719</v>
      </c>
      <c r="B89" s="22" t="s">
        <v>18</v>
      </c>
      <c r="C89" s="22" t="s">
        <v>707</v>
      </c>
      <c r="D89" s="22" t="s">
        <v>720</v>
      </c>
      <c r="E89" s="22" t="s">
        <v>721</v>
      </c>
      <c r="F89" s="22" t="s">
        <v>442</v>
      </c>
      <c r="G89" s="22" t="s">
        <v>72</v>
      </c>
      <c r="H89" s="23" t="s">
        <v>63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443</v>
      </c>
    </row>
    <row r="90" ht="24" customHeight="1" spans="1:17" x14ac:dyDescent="0.25">
      <c r="A90" s="21" t="s">
        <v>722</v>
      </c>
      <c r="B90" s="22" t="s">
        <v>18</v>
      </c>
      <c r="C90" s="22" t="s">
        <v>707</v>
      </c>
      <c r="D90" s="22" t="s">
        <v>723</v>
      </c>
      <c r="E90" s="22" t="s">
        <v>724</v>
      </c>
      <c r="F90" s="22" t="s">
        <v>447</v>
      </c>
      <c r="G90" s="22" t="s">
        <v>448</v>
      </c>
      <c r="H90" s="23" t="s">
        <v>63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449</v>
      </c>
    </row>
    <row r="91" ht="24" customHeight="1" spans="1:17" x14ac:dyDescent="0.25">
      <c r="A91" s="21" t="s">
        <v>725</v>
      </c>
      <c r="B91" s="22" t="s">
        <v>18</v>
      </c>
      <c r="C91" s="22" t="s">
        <v>707</v>
      </c>
      <c r="D91" s="22" t="s">
        <v>726</v>
      </c>
      <c r="E91" s="22" t="s">
        <v>727</v>
      </c>
      <c r="F91" s="22" t="s">
        <v>453</v>
      </c>
      <c r="G91" s="22" t="s">
        <v>127</v>
      </c>
      <c r="H91" s="9" t="s">
        <v>101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454</v>
      </c>
    </row>
    <row r="92" ht="24" customHeight="1" spans="1:17" x14ac:dyDescent="0.25">
      <c r="A92" s="21" t="s">
        <v>728</v>
      </c>
      <c r="B92" s="22" t="s">
        <v>18</v>
      </c>
      <c r="C92" s="22" t="s">
        <v>707</v>
      </c>
      <c r="D92" s="22" t="s">
        <v>729</v>
      </c>
      <c r="E92" s="22" t="s">
        <v>730</v>
      </c>
      <c r="F92" s="22" t="s">
        <v>458</v>
      </c>
      <c r="G92" s="22" t="s">
        <v>72</v>
      </c>
      <c r="H92" s="9" t="s">
        <v>101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459</v>
      </c>
    </row>
    <row r="93" ht="24" customHeight="1" spans="1:17" x14ac:dyDescent="0.25">
      <c r="A93" s="21" t="s">
        <v>731</v>
      </c>
      <c r="B93" s="22" t="s">
        <v>18</v>
      </c>
      <c r="C93" s="22" t="s">
        <v>707</v>
      </c>
      <c r="D93" s="22" t="s">
        <v>732</v>
      </c>
      <c r="E93" s="22" t="s">
        <v>733</v>
      </c>
      <c r="F93" s="22" t="s">
        <v>463</v>
      </c>
      <c r="G93" s="22" t="s">
        <v>72</v>
      </c>
      <c r="H93" s="9" t="s">
        <v>101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464</v>
      </c>
    </row>
    <row r="94" ht="24" customHeight="1" spans="1:17" x14ac:dyDescent="0.25">
      <c r="A94" s="21" t="s">
        <v>734</v>
      </c>
      <c r="B94" s="22" t="s">
        <v>18</v>
      </c>
      <c r="C94" s="22" t="s">
        <v>707</v>
      </c>
      <c r="D94" s="22" t="s">
        <v>735</v>
      </c>
      <c r="E94" s="22" t="s">
        <v>736</v>
      </c>
      <c r="F94" s="22" t="s">
        <v>468</v>
      </c>
      <c r="G94" s="22" t="s">
        <v>72</v>
      </c>
      <c r="H94" s="9" t="s">
        <v>469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470</v>
      </c>
    </row>
    <row r="95" ht="24" customHeight="1" spans="1:17" x14ac:dyDescent="0.25">
      <c r="A95" s="21" t="s">
        <v>737</v>
      </c>
      <c r="B95" s="22" t="s">
        <v>18</v>
      </c>
      <c r="C95" s="22" t="s">
        <v>707</v>
      </c>
      <c r="D95" s="22" t="s">
        <v>738</v>
      </c>
      <c r="E95" s="22" t="s">
        <v>739</v>
      </c>
      <c r="F95" s="22" t="s">
        <v>474</v>
      </c>
      <c r="G95" s="22" t="s">
        <v>72</v>
      </c>
      <c r="H95" s="23" t="s">
        <v>63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475</v>
      </c>
    </row>
    <row r="96" ht="24" customHeight="1" spans="1:17" x14ac:dyDescent="0.25">
      <c r="A96" s="21" t="s">
        <v>740</v>
      </c>
      <c r="B96" s="22" t="s">
        <v>18</v>
      </c>
      <c r="C96" s="22" t="s">
        <v>707</v>
      </c>
      <c r="D96" s="22" t="s">
        <v>741</v>
      </c>
      <c r="E96" s="22" t="s">
        <v>742</v>
      </c>
      <c r="F96" s="22" t="s">
        <v>479</v>
      </c>
      <c r="G96" s="22" t="s">
        <v>72</v>
      </c>
      <c r="H96" s="23" t="s">
        <v>63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480</v>
      </c>
    </row>
    <row r="97" ht="24" customHeight="1" spans="1:17" x14ac:dyDescent="0.25">
      <c r="A97" s="21" t="s">
        <v>743</v>
      </c>
      <c r="B97" s="22" t="s">
        <v>18</v>
      </c>
      <c r="C97" s="22" t="s">
        <v>707</v>
      </c>
      <c r="D97" s="22" t="s">
        <v>744</v>
      </c>
      <c r="E97" s="22" t="s">
        <v>745</v>
      </c>
      <c r="F97" s="22" t="s">
        <v>484</v>
      </c>
      <c r="G97" s="22" t="s">
        <v>485</v>
      </c>
      <c r="H97" s="23" t="s">
        <v>63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486</v>
      </c>
    </row>
    <row r="98" ht="24" customHeight="1" spans="1:17" x14ac:dyDescent="0.25">
      <c r="A98" s="21" t="s">
        <v>746</v>
      </c>
      <c r="B98" s="22" t="s">
        <v>18</v>
      </c>
      <c r="C98" s="22" t="s">
        <v>707</v>
      </c>
      <c r="D98" s="22" t="s">
        <v>747</v>
      </c>
      <c r="E98" s="22" t="s">
        <v>748</v>
      </c>
      <c r="F98" s="22" t="s">
        <v>490</v>
      </c>
      <c r="G98" s="22" t="s">
        <v>72</v>
      </c>
      <c r="H98" s="23" t="s">
        <v>63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491</v>
      </c>
    </row>
    <row r="99" ht="24" customHeight="1" spans="1:17" x14ac:dyDescent="0.25">
      <c r="A99" s="21" t="s">
        <v>749</v>
      </c>
      <c r="B99" s="22" t="s">
        <v>18</v>
      </c>
      <c r="C99" s="22" t="s">
        <v>707</v>
      </c>
      <c r="D99" s="22" t="s">
        <v>750</v>
      </c>
      <c r="E99" s="22" t="s">
        <v>751</v>
      </c>
      <c r="F99" s="22" t="s">
        <v>495</v>
      </c>
      <c r="G99" s="22" t="s">
        <v>72</v>
      </c>
      <c r="H99" s="9" t="s">
        <v>101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496</v>
      </c>
    </row>
    <row r="100" ht="24" customHeight="1" spans="1:17" x14ac:dyDescent="0.25">
      <c r="A100" s="21" t="s">
        <v>752</v>
      </c>
      <c r="B100" s="22" t="s">
        <v>18</v>
      </c>
      <c r="C100" s="22" t="s">
        <v>707</v>
      </c>
      <c r="D100" s="22" t="s">
        <v>753</v>
      </c>
      <c r="E100" s="22" t="s">
        <v>754</v>
      </c>
      <c r="F100" s="22" t="s">
        <v>500</v>
      </c>
      <c r="G100" s="22" t="s">
        <v>79</v>
      </c>
      <c r="H100" s="9" t="s">
        <v>101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501</v>
      </c>
    </row>
    <row r="101" ht="24" customHeight="1" spans="1:17" x14ac:dyDescent="0.25">
      <c r="A101" s="21" t="s">
        <v>755</v>
      </c>
      <c r="B101" s="22" t="s">
        <v>18</v>
      </c>
      <c r="C101" s="22" t="s">
        <v>707</v>
      </c>
      <c r="D101" s="22" t="s">
        <v>756</v>
      </c>
      <c r="E101" s="22" t="s">
        <v>757</v>
      </c>
      <c r="F101" s="22" t="s">
        <v>505</v>
      </c>
      <c r="G101" s="22" t="s">
        <v>506</v>
      </c>
      <c r="H101" s="9" t="s">
        <v>469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507</v>
      </c>
    </row>
    <row r="102" ht="24" customHeight="1" spans="1:17" x14ac:dyDescent="0.25">
      <c r="A102" s="21" t="s">
        <v>758</v>
      </c>
      <c r="B102" s="22" t="s">
        <v>18</v>
      </c>
      <c r="C102" s="22" t="s">
        <v>707</v>
      </c>
      <c r="D102" s="22" t="s">
        <v>759</v>
      </c>
      <c r="E102" s="22" t="s">
        <v>760</v>
      </c>
      <c r="F102" s="22" t="s">
        <v>511</v>
      </c>
      <c r="G102" s="22" t="s">
        <v>72</v>
      </c>
      <c r="H102" s="9" t="s">
        <v>101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512</v>
      </c>
    </row>
    <row r="103" ht="24" customHeight="1" spans="1:17" x14ac:dyDescent="0.25">
      <c r="A103" s="21" t="s">
        <v>761</v>
      </c>
      <c r="B103" s="22" t="s">
        <v>18</v>
      </c>
      <c r="C103" s="22" t="s">
        <v>707</v>
      </c>
      <c r="D103" s="22" t="s">
        <v>762</v>
      </c>
      <c r="E103" s="22" t="s">
        <v>763</v>
      </c>
      <c r="F103" s="22" t="s">
        <v>516</v>
      </c>
      <c r="G103" s="22" t="s">
        <v>72</v>
      </c>
      <c r="H103" s="23" t="s">
        <v>63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517</v>
      </c>
    </row>
    <row r="104" ht="24" customHeight="1" spans="1:17" x14ac:dyDescent="0.25">
      <c r="A104" s="21" t="s">
        <v>764</v>
      </c>
      <c r="B104" s="22" t="s">
        <v>18</v>
      </c>
      <c r="C104" s="22" t="s">
        <v>707</v>
      </c>
      <c r="D104" s="22" t="s">
        <v>765</v>
      </c>
      <c r="E104" s="22" t="s">
        <v>766</v>
      </c>
      <c r="F104" s="22" t="s">
        <v>521</v>
      </c>
      <c r="G104" s="22" t="s">
        <v>72</v>
      </c>
      <c r="H104" s="9" t="s">
        <v>101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522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29" t="s">
        <v>767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ht="24" customHeight="1" spans="1:17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768</v>
      </c>
      <c r="B5" s="22" t="s">
        <v>20</v>
      </c>
      <c r="C5" s="22" t="s">
        <v>769</v>
      </c>
      <c r="D5" s="22" t="s">
        <v>770</v>
      </c>
      <c r="E5" s="22" t="s">
        <v>771</v>
      </c>
      <c r="F5" s="22" t="s">
        <v>772</v>
      </c>
      <c r="G5" s="22" t="s">
        <v>79</v>
      </c>
      <c r="H5" s="26" t="s">
        <v>73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773</v>
      </c>
    </row>
    <row r="6" ht="24" customHeight="1" spans="1:17" x14ac:dyDescent="0.25">
      <c r="A6" s="21" t="s">
        <v>774</v>
      </c>
      <c r="B6" s="22" t="s">
        <v>20</v>
      </c>
      <c r="C6" s="22" t="s">
        <v>769</v>
      </c>
      <c r="D6" s="22" t="s">
        <v>775</v>
      </c>
      <c r="E6" s="22" t="s">
        <v>776</v>
      </c>
      <c r="F6" s="22" t="s">
        <v>777</v>
      </c>
      <c r="G6" s="22" t="s">
        <v>79</v>
      </c>
      <c r="H6" s="9" t="s">
        <v>101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778</v>
      </c>
    </row>
    <row r="7" ht="24" customHeight="1" spans="1:17" x14ac:dyDescent="0.25">
      <c r="A7" s="21" t="s">
        <v>779</v>
      </c>
      <c r="B7" s="22" t="s">
        <v>20</v>
      </c>
      <c r="C7" s="22" t="s">
        <v>769</v>
      </c>
      <c r="D7" s="22" t="s">
        <v>780</v>
      </c>
      <c r="E7" s="22" t="s">
        <v>781</v>
      </c>
      <c r="F7" s="22" t="s">
        <v>782</v>
      </c>
      <c r="G7" s="22" t="s">
        <v>79</v>
      </c>
      <c r="H7" s="26" t="s">
        <v>73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783</v>
      </c>
    </row>
    <row r="8" ht="24" customHeight="1" spans="1:17" x14ac:dyDescent="0.25">
      <c r="A8" s="21" t="s">
        <v>784</v>
      </c>
      <c r="B8" s="22" t="s">
        <v>20</v>
      </c>
      <c r="C8" s="22" t="s">
        <v>769</v>
      </c>
      <c r="D8" s="22" t="s">
        <v>785</v>
      </c>
      <c r="E8" s="22" t="s">
        <v>786</v>
      </c>
      <c r="F8" s="22" t="s">
        <v>787</v>
      </c>
      <c r="G8" s="22" t="s">
        <v>79</v>
      </c>
      <c r="H8" s="9" t="s">
        <v>101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788</v>
      </c>
    </row>
    <row r="9" ht="24" customHeight="1" spans="1:17" x14ac:dyDescent="0.25">
      <c r="A9" s="21" t="s">
        <v>789</v>
      </c>
      <c r="B9" s="22" t="s">
        <v>20</v>
      </c>
      <c r="C9" s="22" t="s">
        <v>769</v>
      </c>
      <c r="D9" s="22" t="s">
        <v>790</v>
      </c>
      <c r="E9" s="22" t="s">
        <v>791</v>
      </c>
      <c r="F9" s="22" t="s">
        <v>792</v>
      </c>
      <c r="G9" s="22" t="s">
        <v>79</v>
      </c>
      <c r="H9" s="23" t="s">
        <v>63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793</v>
      </c>
    </row>
    <row r="10" ht="24" customHeight="1" spans="1:17" x14ac:dyDescent="0.25">
      <c r="A10" s="21" t="s">
        <v>794</v>
      </c>
      <c r="B10" s="22" t="s">
        <v>20</v>
      </c>
      <c r="C10" s="22" t="s">
        <v>769</v>
      </c>
      <c r="D10" s="22" t="s">
        <v>795</v>
      </c>
      <c r="E10" s="22" t="s">
        <v>796</v>
      </c>
      <c r="F10" s="22" t="s">
        <v>797</v>
      </c>
      <c r="G10" s="22" t="s">
        <v>79</v>
      </c>
      <c r="H10" s="26" t="s">
        <v>73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798</v>
      </c>
    </row>
    <row r="11" ht="24" customHeight="1" spans="1:17" x14ac:dyDescent="0.25">
      <c r="A11" s="21" t="s">
        <v>799</v>
      </c>
      <c r="B11" s="22" t="s">
        <v>20</v>
      </c>
      <c r="C11" s="22" t="s">
        <v>769</v>
      </c>
      <c r="D11" s="22" t="s">
        <v>800</v>
      </c>
      <c r="E11" s="22" t="s">
        <v>801</v>
      </c>
      <c r="F11" s="22" t="s">
        <v>802</v>
      </c>
      <c r="G11" s="22" t="s">
        <v>79</v>
      </c>
      <c r="H11" s="9" t="s">
        <v>101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803</v>
      </c>
    </row>
    <row r="12" ht="24" customHeight="1" spans="1:17" x14ac:dyDescent="0.25">
      <c r="A12" s="21" t="s">
        <v>804</v>
      </c>
      <c r="B12" s="22" t="s">
        <v>20</v>
      </c>
      <c r="C12" s="22" t="s">
        <v>769</v>
      </c>
      <c r="D12" s="22" t="s">
        <v>805</v>
      </c>
      <c r="E12" s="22" t="s">
        <v>806</v>
      </c>
      <c r="F12" s="22" t="s">
        <v>807</v>
      </c>
      <c r="G12" s="22" t="s">
        <v>79</v>
      </c>
      <c r="H12" s="23" t="s">
        <v>63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808</v>
      </c>
    </row>
    <row r="13" ht="24" customHeight="1" spans="1:17" x14ac:dyDescent="0.25">
      <c r="A13" s="21" t="s">
        <v>809</v>
      </c>
      <c r="B13" s="22" t="s">
        <v>20</v>
      </c>
      <c r="C13" s="22" t="s">
        <v>769</v>
      </c>
      <c r="D13" s="22" t="s">
        <v>810</v>
      </c>
      <c r="E13" s="22" t="s">
        <v>811</v>
      </c>
      <c r="F13" s="22" t="s">
        <v>812</v>
      </c>
      <c r="G13" s="22" t="s">
        <v>79</v>
      </c>
      <c r="H13" s="23" t="s">
        <v>63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813</v>
      </c>
    </row>
    <row r="14" ht="24" customHeight="1" spans="1:17" x14ac:dyDescent="0.25">
      <c r="A14" s="21" t="s">
        <v>814</v>
      </c>
      <c r="B14" s="22" t="s">
        <v>20</v>
      </c>
      <c r="C14" s="22" t="s">
        <v>769</v>
      </c>
      <c r="D14" s="22" t="s">
        <v>815</v>
      </c>
      <c r="E14" s="22" t="s">
        <v>816</v>
      </c>
      <c r="F14" s="22" t="s">
        <v>817</v>
      </c>
      <c r="G14" s="22" t="s">
        <v>79</v>
      </c>
      <c r="H14" s="23" t="s">
        <v>63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818</v>
      </c>
    </row>
    <row r="15" ht="24" customHeight="1" spans="1:17" x14ac:dyDescent="0.25">
      <c r="A15" s="21" t="s">
        <v>819</v>
      </c>
      <c r="B15" s="22" t="s">
        <v>20</v>
      </c>
      <c r="C15" s="22" t="s">
        <v>769</v>
      </c>
      <c r="D15" s="22" t="s">
        <v>820</v>
      </c>
      <c r="E15" s="22" t="s">
        <v>821</v>
      </c>
      <c r="F15" s="22" t="s">
        <v>822</v>
      </c>
      <c r="G15" s="22" t="s">
        <v>79</v>
      </c>
      <c r="H15" s="26" t="s">
        <v>73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823</v>
      </c>
    </row>
    <row r="16" ht="24" customHeight="1" spans="1:17" x14ac:dyDescent="0.25">
      <c r="A16" s="21" t="s">
        <v>824</v>
      </c>
      <c r="B16" s="22" t="s">
        <v>20</v>
      </c>
      <c r="C16" s="22" t="s">
        <v>769</v>
      </c>
      <c r="D16" s="22" t="s">
        <v>825</v>
      </c>
      <c r="E16" s="22" t="s">
        <v>826</v>
      </c>
      <c r="F16" s="22" t="s">
        <v>827</v>
      </c>
      <c r="G16" s="22" t="s">
        <v>79</v>
      </c>
      <c r="H16" s="23" t="s">
        <v>63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828</v>
      </c>
    </row>
    <row r="17" ht="24" customHeight="1" spans="1:17" x14ac:dyDescent="0.25">
      <c r="A17" s="21" t="s">
        <v>829</v>
      </c>
      <c r="B17" s="22" t="s">
        <v>20</v>
      </c>
      <c r="C17" s="22" t="s">
        <v>769</v>
      </c>
      <c r="D17" s="22" t="s">
        <v>830</v>
      </c>
      <c r="E17" s="22" t="s">
        <v>831</v>
      </c>
      <c r="F17" s="22" t="s">
        <v>832</v>
      </c>
      <c r="G17" s="22" t="s">
        <v>79</v>
      </c>
      <c r="H17" s="23" t="s">
        <v>63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833</v>
      </c>
    </row>
    <row r="18" ht="24" customHeight="1" spans="1:17" x14ac:dyDescent="0.25">
      <c r="A18" s="21" t="s">
        <v>834</v>
      </c>
      <c r="B18" s="22" t="s">
        <v>20</v>
      </c>
      <c r="C18" s="22" t="s">
        <v>769</v>
      </c>
      <c r="D18" s="22" t="s">
        <v>835</v>
      </c>
      <c r="E18" s="22" t="s">
        <v>836</v>
      </c>
      <c r="F18" s="22" t="s">
        <v>837</v>
      </c>
      <c r="G18" s="22" t="s">
        <v>79</v>
      </c>
      <c r="H18" s="26" t="s">
        <v>73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838</v>
      </c>
    </row>
    <row r="19" ht="24" customHeight="1" spans="1:17" x14ac:dyDescent="0.25">
      <c r="A19" s="21" t="s">
        <v>839</v>
      </c>
      <c r="B19" s="22" t="s">
        <v>20</v>
      </c>
      <c r="C19" s="22" t="s">
        <v>769</v>
      </c>
      <c r="D19" s="22" t="s">
        <v>840</v>
      </c>
      <c r="E19" s="22" t="s">
        <v>841</v>
      </c>
      <c r="F19" s="22" t="s">
        <v>842</v>
      </c>
      <c r="G19" s="22" t="s">
        <v>79</v>
      </c>
      <c r="H19" s="23" t="s">
        <v>63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843</v>
      </c>
    </row>
    <row r="20" ht="24" customHeight="1" spans="1:17" x14ac:dyDescent="0.25">
      <c r="A20" s="21" t="s">
        <v>844</v>
      </c>
      <c r="B20" s="22" t="s">
        <v>20</v>
      </c>
      <c r="C20" s="22" t="s">
        <v>769</v>
      </c>
      <c r="D20" s="22" t="s">
        <v>845</v>
      </c>
      <c r="E20" s="22" t="s">
        <v>846</v>
      </c>
      <c r="F20" s="22" t="s">
        <v>847</v>
      </c>
      <c r="G20" s="22" t="s">
        <v>79</v>
      </c>
      <c r="H20" s="23" t="s">
        <v>63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848</v>
      </c>
    </row>
    <row r="21" ht="24" customHeight="1" spans="1:17" x14ac:dyDescent="0.25">
      <c r="A21" s="21" t="s">
        <v>849</v>
      </c>
      <c r="B21" s="22" t="s">
        <v>20</v>
      </c>
      <c r="C21" s="22" t="s">
        <v>769</v>
      </c>
      <c r="D21" s="22" t="s">
        <v>850</v>
      </c>
      <c r="E21" s="22" t="s">
        <v>851</v>
      </c>
      <c r="F21" s="22" t="s">
        <v>852</v>
      </c>
      <c r="G21" s="22" t="s">
        <v>79</v>
      </c>
      <c r="H21" s="9" t="s">
        <v>101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853</v>
      </c>
    </row>
    <row r="22" ht="24" customHeight="1" spans="1:17" x14ac:dyDescent="0.25">
      <c r="A22" s="21" t="s">
        <v>854</v>
      </c>
      <c r="B22" s="22" t="s">
        <v>20</v>
      </c>
      <c r="C22" s="22" t="s">
        <v>769</v>
      </c>
      <c r="D22" s="22" t="s">
        <v>855</v>
      </c>
      <c r="E22" s="22" t="s">
        <v>856</v>
      </c>
      <c r="F22" s="22" t="s">
        <v>857</v>
      </c>
      <c r="G22" s="22" t="s">
        <v>79</v>
      </c>
      <c r="H22" s="9" t="s">
        <v>101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858</v>
      </c>
    </row>
    <row r="23" ht="24" customHeight="1" spans="1:17" x14ac:dyDescent="0.25">
      <c r="A23" s="21" t="s">
        <v>859</v>
      </c>
      <c r="B23" s="22" t="s">
        <v>20</v>
      </c>
      <c r="C23" s="22" t="s">
        <v>769</v>
      </c>
      <c r="D23" s="22" t="s">
        <v>860</v>
      </c>
      <c r="E23" s="22" t="s">
        <v>861</v>
      </c>
      <c r="F23" s="22" t="s">
        <v>862</v>
      </c>
      <c r="G23" s="22" t="s">
        <v>79</v>
      </c>
      <c r="H23" s="23" t="s">
        <v>63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863</v>
      </c>
    </row>
    <row r="24" ht="24" customHeight="1" spans="1:17" x14ac:dyDescent="0.25">
      <c r="A24" s="21" t="s">
        <v>864</v>
      </c>
      <c r="B24" s="22" t="s">
        <v>20</v>
      </c>
      <c r="C24" s="22" t="s">
        <v>769</v>
      </c>
      <c r="D24" s="22" t="s">
        <v>865</v>
      </c>
      <c r="E24" s="22" t="s">
        <v>866</v>
      </c>
      <c r="F24" s="22" t="s">
        <v>867</v>
      </c>
      <c r="G24" s="22" t="s">
        <v>79</v>
      </c>
      <c r="H24" s="23" t="s">
        <v>63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868</v>
      </c>
    </row>
    <row r="25" ht="24" customHeight="1" spans="1:17" x14ac:dyDescent="0.25">
      <c r="A25" s="21" t="s">
        <v>869</v>
      </c>
      <c r="B25" s="22" t="s">
        <v>20</v>
      </c>
      <c r="C25" s="22" t="s">
        <v>870</v>
      </c>
      <c r="D25" s="22" t="s">
        <v>871</v>
      </c>
      <c r="E25" s="22" t="s">
        <v>872</v>
      </c>
      <c r="F25" s="22" t="s">
        <v>772</v>
      </c>
      <c r="G25" s="22" t="s">
        <v>79</v>
      </c>
      <c r="H25" s="26" t="s">
        <v>73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773</v>
      </c>
    </row>
    <row r="26" ht="24" customHeight="1" spans="1:17" x14ac:dyDescent="0.25">
      <c r="A26" s="21" t="s">
        <v>873</v>
      </c>
      <c r="B26" s="22" t="s">
        <v>20</v>
      </c>
      <c r="C26" s="22" t="s">
        <v>870</v>
      </c>
      <c r="D26" s="22" t="s">
        <v>874</v>
      </c>
      <c r="E26" s="22" t="s">
        <v>875</v>
      </c>
      <c r="F26" s="22" t="s">
        <v>777</v>
      </c>
      <c r="G26" s="22" t="s">
        <v>79</v>
      </c>
      <c r="H26" s="9" t="s">
        <v>101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778</v>
      </c>
    </row>
    <row r="27" ht="24" customHeight="1" spans="1:17" x14ac:dyDescent="0.25">
      <c r="A27" s="21" t="s">
        <v>876</v>
      </c>
      <c r="B27" s="22" t="s">
        <v>20</v>
      </c>
      <c r="C27" s="22" t="s">
        <v>870</v>
      </c>
      <c r="D27" s="22" t="s">
        <v>877</v>
      </c>
      <c r="E27" s="22" t="s">
        <v>878</v>
      </c>
      <c r="F27" s="22" t="s">
        <v>782</v>
      </c>
      <c r="G27" s="22" t="s">
        <v>79</v>
      </c>
      <c r="H27" s="26" t="s">
        <v>73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783</v>
      </c>
    </row>
    <row r="28" ht="24" customHeight="1" spans="1:17" x14ac:dyDescent="0.25">
      <c r="A28" s="21" t="s">
        <v>879</v>
      </c>
      <c r="B28" s="22" t="s">
        <v>20</v>
      </c>
      <c r="C28" s="22" t="s">
        <v>870</v>
      </c>
      <c r="D28" s="22" t="s">
        <v>880</v>
      </c>
      <c r="E28" s="22" t="s">
        <v>881</v>
      </c>
      <c r="F28" s="22" t="s">
        <v>787</v>
      </c>
      <c r="G28" s="22" t="s">
        <v>79</v>
      </c>
      <c r="H28" s="9" t="s">
        <v>101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788</v>
      </c>
    </row>
    <row r="29" ht="24" customHeight="1" spans="1:17" x14ac:dyDescent="0.25">
      <c r="A29" s="21" t="s">
        <v>882</v>
      </c>
      <c r="B29" s="22" t="s">
        <v>20</v>
      </c>
      <c r="C29" s="22" t="s">
        <v>870</v>
      </c>
      <c r="D29" s="22" t="s">
        <v>883</v>
      </c>
      <c r="E29" s="22" t="s">
        <v>884</v>
      </c>
      <c r="F29" s="22" t="s">
        <v>792</v>
      </c>
      <c r="G29" s="22" t="s">
        <v>79</v>
      </c>
      <c r="H29" s="23" t="s">
        <v>63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793</v>
      </c>
    </row>
    <row r="30" ht="24" customHeight="1" spans="1:17" x14ac:dyDescent="0.25">
      <c r="A30" s="21" t="s">
        <v>885</v>
      </c>
      <c r="B30" s="22" t="s">
        <v>20</v>
      </c>
      <c r="C30" s="22" t="s">
        <v>870</v>
      </c>
      <c r="D30" s="22" t="s">
        <v>886</v>
      </c>
      <c r="E30" s="22" t="s">
        <v>887</v>
      </c>
      <c r="F30" s="22" t="s">
        <v>797</v>
      </c>
      <c r="G30" s="22" t="s">
        <v>79</v>
      </c>
      <c r="H30" s="26" t="s">
        <v>73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798</v>
      </c>
    </row>
    <row r="31" ht="24" customHeight="1" spans="1:17" x14ac:dyDescent="0.25">
      <c r="A31" s="21" t="s">
        <v>888</v>
      </c>
      <c r="B31" s="22" t="s">
        <v>20</v>
      </c>
      <c r="C31" s="22" t="s">
        <v>870</v>
      </c>
      <c r="D31" s="22" t="s">
        <v>889</v>
      </c>
      <c r="E31" s="22" t="s">
        <v>890</v>
      </c>
      <c r="F31" s="22" t="s">
        <v>802</v>
      </c>
      <c r="G31" s="22" t="s">
        <v>79</v>
      </c>
      <c r="H31" s="9" t="s">
        <v>101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803</v>
      </c>
    </row>
    <row r="32" ht="24" customHeight="1" spans="1:17" x14ac:dyDescent="0.25">
      <c r="A32" s="21" t="s">
        <v>891</v>
      </c>
      <c r="B32" s="22" t="s">
        <v>20</v>
      </c>
      <c r="C32" s="22" t="s">
        <v>870</v>
      </c>
      <c r="D32" s="22" t="s">
        <v>892</v>
      </c>
      <c r="E32" s="22" t="s">
        <v>893</v>
      </c>
      <c r="F32" s="22" t="s">
        <v>807</v>
      </c>
      <c r="G32" s="22" t="s">
        <v>79</v>
      </c>
      <c r="H32" s="23" t="s">
        <v>63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808</v>
      </c>
    </row>
    <row r="33" ht="24" customHeight="1" spans="1:17" x14ac:dyDescent="0.25">
      <c r="A33" s="21" t="s">
        <v>894</v>
      </c>
      <c r="B33" s="22" t="s">
        <v>20</v>
      </c>
      <c r="C33" s="22" t="s">
        <v>870</v>
      </c>
      <c r="D33" s="22" t="s">
        <v>895</v>
      </c>
      <c r="E33" s="22" t="s">
        <v>896</v>
      </c>
      <c r="F33" s="22" t="s">
        <v>812</v>
      </c>
      <c r="G33" s="22" t="s">
        <v>79</v>
      </c>
      <c r="H33" s="23" t="s">
        <v>63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813</v>
      </c>
    </row>
    <row r="34" ht="24" customHeight="1" spans="1:17" x14ac:dyDescent="0.25">
      <c r="A34" s="21" t="s">
        <v>897</v>
      </c>
      <c r="B34" s="22" t="s">
        <v>20</v>
      </c>
      <c r="C34" s="22" t="s">
        <v>870</v>
      </c>
      <c r="D34" s="22" t="s">
        <v>898</v>
      </c>
      <c r="E34" s="22" t="s">
        <v>899</v>
      </c>
      <c r="F34" s="22" t="s">
        <v>817</v>
      </c>
      <c r="G34" s="22" t="s">
        <v>79</v>
      </c>
      <c r="H34" s="23" t="s">
        <v>63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818</v>
      </c>
    </row>
    <row r="35" ht="24" customHeight="1" spans="1:17" x14ac:dyDescent="0.25">
      <c r="A35" s="21" t="s">
        <v>900</v>
      </c>
      <c r="B35" s="22" t="s">
        <v>20</v>
      </c>
      <c r="C35" s="22" t="s">
        <v>870</v>
      </c>
      <c r="D35" s="22" t="s">
        <v>901</v>
      </c>
      <c r="E35" s="22" t="s">
        <v>902</v>
      </c>
      <c r="F35" s="22" t="s">
        <v>822</v>
      </c>
      <c r="G35" s="22" t="s">
        <v>79</v>
      </c>
      <c r="H35" s="26" t="s">
        <v>73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823</v>
      </c>
    </row>
    <row r="36" ht="24" customHeight="1" spans="1:17" x14ac:dyDescent="0.25">
      <c r="A36" s="21" t="s">
        <v>903</v>
      </c>
      <c r="B36" s="22" t="s">
        <v>20</v>
      </c>
      <c r="C36" s="22" t="s">
        <v>870</v>
      </c>
      <c r="D36" s="22" t="s">
        <v>904</v>
      </c>
      <c r="E36" s="22" t="s">
        <v>905</v>
      </c>
      <c r="F36" s="22" t="s">
        <v>827</v>
      </c>
      <c r="G36" s="22" t="s">
        <v>79</v>
      </c>
      <c r="H36" s="23" t="s">
        <v>63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828</v>
      </c>
    </row>
    <row r="37" ht="24" customHeight="1" spans="1:17" x14ac:dyDescent="0.25">
      <c r="A37" s="21" t="s">
        <v>906</v>
      </c>
      <c r="B37" s="22" t="s">
        <v>20</v>
      </c>
      <c r="C37" s="22" t="s">
        <v>870</v>
      </c>
      <c r="D37" s="22" t="s">
        <v>907</v>
      </c>
      <c r="E37" s="22" t="s">
        <v>908</v>
      </c>
      <c r="F37" s="22" t="s">
        <v>832</v>
      </c>
      <c r="G37" s="22" t="s">
        <v>79</v>
      </c>
      <c r="H37" s="23" t="s">
        <v>63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833</v>
      </c>
    </row>
    <row r="38" ht="24" customHeight="1" spans="1:17" x14ac:dyDescent="0.25">
      <c r="A38" s="21" t="s">
        <v>909</v>
      </c>
      <c r="B38" s="22" t="s">
        <v>20</v>
      </c>
      <c r="C38" s="22" t="s">
        <v>870</v>
      </c>
      <c r="D38" s="22" t="s">
        <v>910</v>
      </c>
      <c r="E38" s="22" t="s">
        <v>911</v>
      </c>
      <c r="F38" s="22" t="s">
        <v>837</v>
      </c>
      <c r="G38" s="22" t="s">
        <v>79</v>
      </c>
      <c r="H38" s="26" t="s">
        <v>73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838</v>
      </c>
    </row>
    <row r="39" ht="24" customHeight="1" spans="1:17" x14ac:dyDescent="0.25">
      <c r="A39" s="21" t="s">
        <v>912</v>
      </c>
      <c r="B39" s="22" t="s">
        <v>20</v>
      </c>
      <c r="C39" s="22" t="s">
        <v>870</v>
      </c>
      <c r="D39" s="22" t="s">
        <v>913</v>
      </c>
      <c r="E39" s="22" t="s">
        <v>914</v>
      </c>
      <c r="F39" s="22" t="s">
        <v>842</v>
      </c>
      <c r="G39" s="22" t="s">
        <v>79</v>
      </c>
      <c r="H39" s="23" t="s">
        <v>63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843</v>
      </c>
    </row>
    <row r="40" ht="24" customHeight="1" spans="1:17" x14ac:dyDescent="0.25">
      <c r="A40" s="21" t="s">
        <v>915</v>
      </c>
      <c r="B40" s="22" t="s">
        <v>20</v>
      </c>
      <c r="C40" s="22" t="s">
        <v>870</v>
      </c>
      <c r="D40" s="22" t="s">
        <v>916</v>
      </c>
      <c r="E40" s="22" t="s">
        <v>917</v>
      </c>
      <c r="F40" s="22" t="s">
        <v>847</v>
      </c>
      <c r="G40" s="22" t="s">
        <v>79</v>
      </c>
      <c r="H40" s="23" t="s">
        <v>63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848</v>
      </c>
    </row>
    <row r="41" ht="24" customHeight="1" spans="1:17" x14ac:dyDescent="0.25">
      <c r="A41" s="21" t="s">
        <v>918</v>
      </c>
      <c r="B41" s="22" t="s">
        <v>20</v>
      </c>
      <c r="C41" s="22" t="s">
        <v>870</v>
      </c>
      <c r="D41" s="22" t="s">
        <v>919</v>
      </c>
      <c r="E41" s="22" t="s">
        <v>920</v>
      </c>
      <c r="F41" s="22" t="s">
        <v>852</v>
      </c>
      <c r="G41" s="22" t="s">
        <v>79</v>
      </c>
      <c r="H41" s="9" t="s">
        <v>101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853</v>
      </c>
    </row>
    <row r="42" ht="24" customHeight="1" spans="1:17" x14ac:dyDescent="0.25">
      <c r="A42" s="21" t="s">
        <v>921</v>
      </c>
      <c r="B42" s="22" t="s">
        <v>20</v>
      </c>
      <c r="C42" s="22" t="s">
        <v>870</v>
      </c>
      <c r="D42" s="22" t="s">
        <v>922</v>
      </c>
      <c r="E42" s="22" t="s">
        <v>923</v>
      </c>
      <c r="F42" s="22" t="s">
        <v>857</v>
      </c>
      <c r="G42" s="22" t="s">
        <v>79</v>
      </c>
      <c r="H42" s="9" t="s">
        <v>101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858</v>
      </c>
    </row>
    <row r="43" ht="24" customHeight="1" spans="1:17" x14ac:dyDescent="0.25">
      <c r="A43" s="21" t="s">
        <v>924</v>
      </c>
      <c r="B43" s="22" t="s">
        <v>20</v>
      </c>
      <c r="C43" s="22" t="s">
        <v>870</v>
      </c>
      <c r="D43" s="22" t="s">
        <v>925</v>
      </c>
      <c r="E43" s="22" t="s">
        <v>926</v>
      </c>
      <c r="F43" s="22" t="s">
        <v>862</v>
      </c>
      <c r="G43" s="22" t="s">
        <v>79</v>
      </c>
      <c r="H43" s="23" t="s">
        <v>63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863</v>
      </c>
    </row>
    <row r="44" ht="24" customHeight="1" spans="1:17" x14ac:dyDescent="0.25">
      <c r="A44" s="21" t="s">
        <v>927</v>
      </c>
      <c r="B44" s="22" t="s">
        <v>20</v>
      </c>
      <c r="C44" s="22" t="s">
        <v>870</v>
      </c>
      <c r="D44" s="22" t="s">
        <v>928</v>
      </c>
      <c r="E44" s="22" t="s">
        <v>929</v>
      </c>
      <c r="F44" s="22" t="s">
        <v>867</v>
      </c>
      <c r="G44" s="22" t="s">
        <v>79</v>
      </c>
      <c r="H44" s="23" t="s">
        <v>63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868</v>
      </c>
    </row>
    <row r="45" ht="24" customHeight="1" spans="1:17" x14ac:dyDescent="0.25">
      <c r="A45" s="21" t="s">
        <v>930</v>
      </c>
      <c r="B45" s="22" t="s">
        <v>20</v>
      </c>
      <c r="C45" s="22" t="s">
        <v>931</v>
      </c>
      <c r="D45" s="22" t="s">
        <v>932</v>
      </c>
      <c r="E45" s="22" t="s">
        <v>933</v>
      </c>
      <c r="F45" s="22" t="s">
        <v>772</v>
      </c>
      <c r="G45" s="22" t="s">
        <v>79</v>
      </c>
      <c r="H45" s="26" t="s">
        <v>73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773</v>
      </c>
    </row>
    <row r="46" ht="24" customHeight="1" spans="1:17" x14ac:dyDescent="0.25">
      <c r="A46" s="21" t="s">
        <v>934</v>
      </c>
      <c r="B46" s="22" t="s">
        <v>20</v>
      </c>
      <c r="C46" s="22" t="s">
        <v>931</v>
      </c>
      <c r="D46" s="22" t="s">
        <v>935</v>
      </c>
      <c r="E46" s="22" t="s">
        <v>936</v>
      </c>
      <c r="F46" s="22" t="s">
        <v>777</v>
      </c>
      <c r="G46" s="22" t="s">
        <v>79</v>
      </c>
      <c r="H46" s="9" t="s">
        <v>101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778</v>
      </c>
    </row>
    <row r="47" ht="24" customHeight="1" spans="1:17" x14ac:dyDescent="0.25">
      <c r="A47" s="21" t="s">
        <v>937</v>
      </c>
      <c r="B47" s="22" t="s">
        <v>20</v>
      </c>
      <c r="C47" s="22" t="s">
        <v>931</v>
      </c>
      <c r="D47" s="22" t="s">
        <v>938</v>
      </c>
      <c r="E47" s="22" t="s">
        <v>939</v>
      </c>
      <c r="F47" s="22" t="s">
        <v>782</v>
      </c>
      <c r="G47" s="22" t="s">
        <v>79</v>
      </c>
      <c r="H47" s="26" t="s">
        <v>73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783</v>
      </c>
    </row>
    <row r="48" ht="24" customHeight="1" spans="1:17" x14ac:dyDescent="0.25">
      <c r="A48" s="21" t="s">
        <v>940</v>
      </c>
      <c r="B48" s="22" t="s">
        <v>20</v>
      </c>
      <c r="C48" s="22" t="s">
        <v>931</v>
      </c>
      <c r="D48" s="22" t="s">
        <v>941</v>
      </c>
      <c r="E48" s="22" t="s">
        <v>942</v>
      </c>
      <c r="F48" s="22" t="s">
        <v>787</v>
      </c>
      <c r="G48" s="22" t="s">
        <v>79</v>
      </c>
      <c r="H48" s="9" t="s">
        <v>101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788</v>
      </c>
    </row>
    <row r="49" ht="24" customHeight="1" spans="1:17" x14ac:dyDescent="0.25">
      <c r="A49" s="21" t="s">
        <v>943</v>
      </c>
      <c r="B49" s="22" t="s">
        <v>20</v>
      </c>
      <c r="C49" s="22" t="s">
        <v>931</v>
      </c>
      <c r="D49" s="22" t="s">
        <v>944</v>
      </c>
      <c r="E49" s="22" t="s">
        <v>945</v>
      </c>
      <c r="F49" s="22" t="s">
        <v>792</v>
      </c>
      <c r="G49" s="22" t="s">
        <v>79</v>
      </c>
      <c r="H49" s="23" t="s">
        <v>63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793</v>
      </c>
    </row>
    <row r="50" ht="24" customHeight="1" spans="1:17" x14ac:dyDescent="0.25">
      <c r="A50" s="21" t="s">
        <v>946</v>
      </c>
      <c r="B50" s="22" t="s">
        <v>20</v>
      </c>
      <c r="C50" s="22" t="s">
        <v>931</v>
      </c>
      <c r="D50" s="22" t="s">
        <v>947</v>
      </c>
      <c r="E50" s="22" t="s">
        <v>948</v>
      </c>
      <c r="F50" s="22" t="s">
        <v>797</v>
      </c>
      <c r="G50" s="22" t="s">
        <v>79</v>
      </c>
      <c r="H50" s="26" t="s">
        <v>73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798</v>
      </c>
    </row>
    <row r="51" ht="24" customHeight="1" spans="1:17" x14ac:dyDescent="0.25">
      <c r="A51" s="21" t="s">
        <v>949</v>
      </c>
      <c r="B51" s="22" t="s">
        <v>20</v>
      </c>
      <c r="C51" s="22" t="s">
        <v>931</v>
      </c>
      <c r="D51" s="22" t="s">
        <v>950</v>
      </c>
      <c r="E51" s="22" t="s">
        <v>951</v>
      </c>
      <c r="F51" s="22" t="s">
        <v>802</v>
      </c>
      <c r="G51" s="22" t="s">
        <v>79</v>
      </c>
      <c r="H51" s="9" t="s">
        <v>101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803</v>
      </c>
    </row>
    <row r="52" ht="24" customHeight="1" spans="1:17" x14ac:dyDescent="0.25">
      <c r="A52" s="21" t="s">
        <v>952</v>
      </c>
      <c r="B52" s="22" t="s">
        <v>20</v>
      </c>
      <c r="C52" s="22" t="s">
        <v>931</v>
      </c>
      <c r="D52" s="22" t="s">
        <v>953</v>
      </c>
      <c r="E52" s="22" t="s">
        <v>954</v>
      </c>
      <c r="F52" s="22" t="s">
        <v>807</v>
      </c>
      <c r="G52" s="22" t="s">
        <v>79</v>
      </c>
      <c r="H52" s="23" t="s">
        <v>63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808</v>
      </c>
    </row>
    <row r="53" ht="24" customHeight="1" spans="1:17" x14ac:dyDescent="0.25">
      <c r="A53" s="21" t="s">
        <v>955</v>
      </c>
      <c r="B53" s="22" t="s">
        <v>20</v>
      </c>
      <c r="C53" s="22" t="s">
        <v>931</v>
      </c>
      <c r="D53" s="22" t="s">
        <v>956</v>
      </c>
      <c r="E53" s="22" t="s">
        <v>957</v>
      </c>
      <c r="F53" s="22" t="s">
        <v>812</v>
      </c>
      <c r="G53" s="22" t="s">
        <v>79</v>
      </c>
      <c r="H53" s="23" t="s">
        <v>63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813</v>
      </c>
    </row>
    <row r="54" ht="24" customHeight="1" spans="1:17" x14ac:dyDescent="0.25">
      <c r="A54" s="21" t="s">
        <v>958</v>
      </c>
      <c r="B54" s="22" t="s">
        <v>20</v>
      </c>
      <c r="C54" s="22" t="s">
        <v>931</v>
      </c>
      <c r="D54" s="22" t="s">
        <v>959</v>
      </c>
      <c r="E54" s="22" t="s">
        <v>960</v>
      </c>
      <c r="F54" s="22" t="s">
        <v>817</v>
      </c>
      <c r="G54" s="22" t="s">
        <v>79</v>
      </c>
      <c r="H54" s="23" t="s">
        <v>63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818</v>
      </c>
    </row>
    <row r="55" ht="24" customHeight="1" spans="1:17" x14ac:dyDescent="0.25">
      <c r="A55" s="21" t="s">
        <v>961</v>
      </c>
      <c r="B55" s="22" t="s">
        <v>20</v>
      </c>
      <c r="C55" s="22" t="s">
        <v>931</v>
      </c>
      <c r="D55" s="22" t="s">
        <v>962</v>
      </c>
      <c r="E55" s="22" t="s">
        <v>963</v>
      </c>
      <c r="F55" s="22" t="s">
        <v>822</v>
      </c>
      <c r="G55" s="22" t="s">
        <v>79</v>
      </c>
      <c r="H55" s="26" t="s">
        <v>73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823</v>
      </c>
    </row>
    <row r="56" ht="24" customHeight="1" spans="1:17" x14ac:dyDescent="0.25">
      <c r="A56" s="21" t="s">
        <v>964</v>
      </c>
      <c r="B56" s="22" t="s">
        <v>20</v>
      </c>
      <c r="C56" s="22" t="s">
        <v>931</v>
      </c>
      <c r="D56" s="22" t="s">
        <v>965</v>
      </c>
      <c r="E56" s="22" t="s">
        <v>966</v>
      </c>
      <c r="F56" s="22" t="s">
        <v>827</v>
      </c>
      <c r="G56" s="22" t="s">
        <v>79</v>
      </c>
      <c r="H56" s="23" t="s">
        <v>63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828</v>
      </c>
    </row>
    <row r="57" ht="24" customHeight="1" spans="1:17" x14ac:dyDescent="0.25">
      <c r="A57" s="21" t="s">
        <v>967</v>
      </c>
      <c r="B57" s="22" t="s">
        <v>20</v>
      </c>
      <c r="C57" s="22" t="s">
        <v>931</v>
      </c>
      <c r="D57" s="22" t="s">
        <v>968</v>
      </c>
      <c r="E57" s="22" t="s">
        <v>969</v>
      </c>
      <c r="F57" s="22" t="s">
        <v>832</v>
      </c>
      <c r="G57" s="22" t="s">
        <v>79</v>
      </c>
      <c r="H57" s="23" t="s">
        <v>63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833</v>
      </c>
    </row>
    <row r="58" ht="24" customHeight="1" spans="1:17" x14ac:dyDescent="0.25">
      <c r="A58" s="21" t="s">
        <v>970</v>
      </c>
      <c r="B58" s="22" t="s">
        <v>20</v>
      </c>
      <c r="C58" s="22" t="s">
        <v>931</v>
      </c>
      <c r="D58" s="22" t="s">
        <v>971</v>
      </c>
      <c r="E58" s="22" t="s">
        <v>972</v>
      </c>
      <c r="F58" s="22" t="s">
        <v>837</v>
      </c>
      <c r="G58" s="22" t="s">
        <v>79</v>
      </c>
      <c r="H58" s="26" t="s">
        <v>73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838</v>
      </c>
    </row>
    <row r="59" ht="24" customHeight="1" spans="1:17" x14ac:dyDescent="0.25">
      <c r="A59" s="21" t="s">
        <v>973</v>
      </c>
      <c r="B59" s="22" t="s">
        <v>20</v>
      </c>
      <c r="C59" s="22" t="s">
        <v>931</v>
      </c>
      <c r="D59" s="22" t="s">
        <v>974</v>
      </c>
      <c r="E59" s="22" t="s">
        <v>975</v>
      </c>
      <c r="F59" s="22" t="s">
        <v>842</v>
      </c>
      <c r="G59" s="22" t="s">
        <v>79</v>
      </c>
      <c r="H59" s="23" t="s">
        <v>63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843</v>
      </c>
    </row>
    <row r="60" ht="24" customHeight="1" spans="1:17" x14ac:dyDescent="0.25">
      <c r="A60" s="21" t="s">
        <v>976</v>
      </c>
      <c r="B60" s="22" t="s">
        <v>20</v>
      </c>
      <c r="C60" s="22" t="s">
        <v>931</v>
      </c>
      <c r="D60" s="22" t="s">
        <v>977</v>
      </c>
      <c r="E60" s="22" t="s">
        <v>978</v>
      </c>
      <c r="F60" s="22" t="s">
        <v>847</v>
      </c>
      <c r="G60" s="22" t="s">
        <v>79</v>
      </c>
      <c r="H60" s="23" t="s">
        <v>63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848</v>
      </c>
    </row>
    <row r="61" ht="24" customHeight="1" spans="1:17" x14ac:dyDescent="0.25">
      <c r="A61" s="21" t="s">
        <v>979</v>
      </c>
      <c r="B61" s="22" t="s">
        <v>20</v>
      </c>
      <c r="C61" s="22" t="s">
        <v>931</v>
      </c>
      <c r="D61" s="22" t="s">
        <v>980</v>
      </c>
      <c r="E61" s="22" t="s">
        <v>981</v>
      </c>
      <c r="F61" s="22" t="s">
        <v>852</v>
      </c>
      <c r="G61" s="22" t="s">
        <v>79</v>
      </c>
      <c r="H61" s="9" t="s">
        <v>101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853</v>
      </c>
    </row>
    <row r="62" ht="24" customHeight="1" spans="1:17" x14ac:dyDescent="0.25">
      <c r="A62" s="21" t="s">
        <v>982</v>
      </c>
      <c r="B62" s="22" t="s">
        <v>20</v>
      </c>
      <c r="C62" s="22" t="s">
        <v>931</v>
      </c>
      <c r="D62" s="22" t="s">
        <v>983</v>
      </c>
      <c r="E62" s="22" t="s">
        <v>984</v>
      </c>
      <c r="F62" s="22" t="s">
        <v>857</v>
      </c>
      <c r="G62" s="22" t="s">
        <v>79</v>
      </c>
      <c r="H62" s="9" t="s">
        <v>101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858</v>
      </c>
    </row>
    <row r="63" ht="24" customHeight="1" spans="1:17" x14ac:dyDescent="0.25">
      <c r="A63" s="21" t="s">
        <v>985</v>
      </c>
      <c r="B63" s="22" t="s">
        <v>20</v>
      </c>
      <c r="C63" s="22" t="s">
        <v>931</v>
      </c>
      <c r="D63" s="22" t="s">
        <v>986</v>
      </c>
      <c r="E63" s="22" t="s">
        <v>987</v>
      </c>
      <c r="F63" s="22" t="s">
        <v>862</v>
      </c>
      <c r="G63" s="22" t="s">
        <v>79</v>
      </c>
      <c r="H63" s="23" t="s">
        <v>63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863</v>
      </c>
    </row>
    <row r="64" ht="24" customHeight="1" spans="1:17" x14ac:dyDescent="0.25">
      <c r="A64" s="21" t="s">
        <v>988</v>
      </c>
      <c r="B64" s="22" t="s">
        <v>20</v>
      </c>
      <c r="C64" s="22" t="s">
        <v>931</v>
      </c>
      <c r="D64" s="22" t="s">
        <v>989</v>
      </c>
      <c r="E64" s="22" t="s">
        <v>990</v>
      </c>
      <c r="F64" s="22" t="s">
        <v>867</v>
      </c>
      <c r="G64" s="22" t="s">
        <v>79</v>
      </c>
      <c r="H64" s="23" t="s">
        <v>63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868</v>
      </c>
    </row>
    <row r="65" ht="24" customHeight="1" spans="1:17" x14ac:dyDescent="0.25">
      <c r="A65" s="21" t="s">
        <v>991</v>
      </c>
      <c r="B65" s="22" t="s">
        <v>20</v>
      </c>
      <c r="C65" s="22" t="s">
        <v>992</v>
      </c>
      <c r="D65" s="22" t="s">
        <v>993</v>
      </c>
      <c r="E65" s="22" t="s">
        <v>994</v>
      </c>
      <c r="F65" s="22" t="s">
        <v>772</v>
      </c>
      <c r="G65" s="22" t="s">
        <v>79</v>
      </c>
      <c r="H65" s="26" t="s">
        <v>73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773</v>
      </c>
    </row>
    <row r="66" ht="24" customHeight="1" spans="1:17" x14ac:dyDescent="0.25">
      <c r="A66" s="21" t="s">
        <v>995</v>
      </c>
      <c r="B66" s="22" t="s">
        <v>20</v>
      </c>
      <c r="C66" s="22" t="s">
        <v>992</v>
      </c>
      <c r="D66" s="22" t="s">
        <v>996</v>
      </c>
      <c r="E66" s="22" t="s">
        <v>997</v>
      </c>
      <c r="F66" s="22" t="s">
        <v>777</v>
      </c>
      <c r="G66" s="22" t="s">
        <v>79</v>
      </c>
      <c r="H66" s="9" t="s">
        <v>101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778</v>
      </c>
    </row>
    <row r="67" ht="24" customHeight="1" spans="1:17" x14ac:dyDescent="0.25">
      <c r="A67" s="21" t="s">
        <v>998</v>
      </c>
      <c r="B67" s="22" t="s">
        <v>20</v>
      </c>
      <c r="C67" s="22" t="s">
        <v>992</v>
      </c>
      <c r="D67" s="22" t="s">
        <v>999</v>
      </c>
      <c r="E67" s="22" t="s">
        <v>1000</v>
      </c>
      <c r="F67" s="22" t="s">
        <v>782</v>
      </c>
      <c r="G67" s="22" t="s">
        <v>79</v>
      </c>
      <c r="H67" s="26" t="s">
        <v>73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783</v>
      </c>
    </row>
    <row r="68" ht="24" customHeight="1" spans="1:17" x14ac:dyDescent="0.25">
      <c r="A68" s="21" t="s">
        <v>1001</v>
      </c>
      <c r="B68" s="22" t="s">
        <v>20</v>
      </c>
      <c r="C68" s="22" t="s">
        <v>992</v>
      </c>
      <c r="D68" s="22" t="s">
        <v>1002</v>
      </c>
      <c r="E68" s="22" t="s">
        <v>1003</v>
      </c>
      <c r="F68" s="22" t="s">
        <v>787</v>
      </c>
      <c r="G68" s="22" t="s">
        <v>79</v>
      </c>
      <c r="H68" s="9" t="s">
        <v>101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788</v>
      </c>
    </row>
    <row r="69" ht="24" customHeight="1" spans="1:17" x14ac:dyDescent="0.25">
      <c r="A69" s="21" t="s">
        <v>1004</v>
      </c>
      <c r="B69" s="22" t="s">
        <v>20</v>
      </c>
      <c r="C69" s="22" t="s">
        <v>992</v>
      </c>
      <c r="D69" s="22" t="s">
        <v>1005</v>
      </c>
      <c r="E69" s="22" t="s">
        <v>1006</v>
      </c>
      <c r="F69" s="22" t="s">
        <v>792</v>
      </c>
      <c r="G69" s="22" t="s">
        <v>79</v>
      </c>
      <c r="H69" s="23" t="s">
        <v>63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793</v>
      </c>
    </row>
    <row r="70" ht="24" customHeight="1" spans="1:17" x14ac:dyDescent="0.25">
      <c r="A70" s="21" t="s">
        <v>1007</v>
      </c>
      <c r="B70" s="22" t="s">
        <v>20</v>
      </c>
      <c r="C70" s="22" t="s">
        <v>992</v>
      </c>
      <c r="D70" s="22" t="s">
        <v>1008</v>
      </c>
      <c r="E70" s="22" t="s">
        <v>1009</v>
      </c>
      <c r="F70" s="22" t="s">
        <v>797</v>
      </c>
      <c r="G70" s="22" t="s">
        <v>79</v>
      </c>
      <c r="H70" s="26" t="s">
        <v>73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798</v>
      </c>
    </row>
    <row r="71" ht="24" customHeight="1" spans="1:17" x14ac:dyDescent="0.25">
      <c r="A71" s="21" t="s">
        <v>1010</v>
      </c>
      <c r="B71" s="22" t="s">
        <v>20</v>
      </c>
      <c r="C71" s="22" t="s">
        <v>992</v>
      </c>
      <c r="D71" s="22" t="s">
        <v>1011</v>
      </c>
      <c r="E71" s="22" t="s">
        <v>1012</v>
      </c>
      <c r="F71" s="22" t="s">
        <v>802</v>
      </c>
      <c r="G71" s="22" t="s">
        <v>79</v>
      </c>
      <c r="H71" s="9" t="s">
        <v>101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803</v>
      </c>
    </row>
    <row r="72" ht="24" customHeight="1" spans="1:17" x14ac:dyDescent="0.25">
      <c r="A72" s="21" t="s">
        <v>1013</v>
      </c>
      <c r="B72" s="22" t="s">
        <v>20</v>
      </c>
      <c r="C72" s="22" t="s">
        <v>992</v>
      </c>
      <c r="D72" s="22" t="s">
        <v>1014</v>
      </c>
      <c r="E72" s="22" t="s">
        <v>1015</v>
      </c>
      <c r="F72" s="22" t="s">
        <v>807</v>
      </c>
      <c r="G72" s="22" t="s">
        <v>79</v>
      </c>
      <c r="H72" s="23" t="s">
        <v>63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808</v>
      </c>
    </row>
    <row r="73" ht="24" customHeight="1" spans="1:17" x14ac:dyDescent="0.25">
      <c r="A73" s="21" t="s">
        <v>1016</v>
      </c>
      <c r="B73" s="22" t="s">
        <v>20</v>
      </c>
      <c r="C73" s="22" t="s">
        <v>992</v>
      </c>
      <c r="D73" s="22" t="s">
        <v>1017</v>
      </c>
      <c r="E73" s="22" t="s">
        <v>1018</v>
      </c>
      <c r="F73" s="22" t="s">
        <v>812</v>
      </c>
      <c r="G73" s="22" t="s">
        <v>79</v>
      </c>
      <c r="H73" s="23" t="s">
        <v>63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813</v>
      </c>
    </row>
    <row r="74" ht="24" customHeight="1" spans="1:17" x14ac:dyDescent="0.25">
      <c r="A74" s="21" t="s">
        <v>1019</v>
      </c>
      <c r="B74" s="22" t="s">
        <v>20</v>
      </c>
      <c r="C74" s="22" t="s">
        <v>992</v>
      </c>
      <c r="D74" s="22" t="s">
        <v>1020</v>
      </c>
      <c r="E74" s="22" t="s">
        <v>1021</v>
      </c>
      <c r="F74" s="22" t="s">
        <v>817</v>
      </c>
      <c r="G74" s="22" t="s">
        <v>79</v>
      </c>
      <c r="H74" s="23" t="s">
        <v>63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818</v>
      </c>
    </row>
    <row r="75" ht="24" customHeight="1" spans="1:17" x14ac:dyDescent="0.25">
      <c r="A75" s="21" t="s">
        <v>1022</v>
      </c>
      <c r="B75" s="22" t="s">
        <v>20</v>
      </c>
      <c r="C75" s="22" t="s">
        <v>992</v>
      </c>
      <c r="D75" s="22" t="s">
        <v>1023</v>
      </c>
      <c r="E75" s="22" t="s">
        <v>1024</v>
      </c>
      <c r="F75" s="22" t="s">
        <v>822</v>
      </c>
      <c r="G75" s="22" t="s">
        <v>79</v>
      </c>
      <c r="H75" s="26" t="s">
        <v>73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823</v>
      </c>
    </row>
    <row r="76" ht="24" customHeight="1" spans="1:17" x14ac:dyDescent="0.25">
      <c r="A76" s="21" t="s">
        <v>1025</v>
      </c>
      <c r="B76" s="22" t="s">
        <v>20</v>
      </c>
      <c r="C76" s="22" t="s">
        <v>992</v>
      </c>
      <c r="D76" s="22" t="s">
        <v>1026</v>
      </c>
      <c r="E76" s="22" t="s">
        <v>1027</v>
      </c>
      <c r="F76" s="22" t="s">
        <v>827</v>
      </c>
      <c r="G76" s="22" t="s">
        <v>79</v>
      </c>
      <c r="H76" s="23" t="s">
        <v>63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828</v>
      </c>
    </row>
    <row r="77" ht="24" customHeight="1" spans="1:17" x14ac:dyDescent="0.25">
      <c r="A77" s="21" t="s">
        <v>1028</v>
      </c>
      <c r="B77" s="22" t="s">
        <v>20</v>
      </c>
      <c r="C77" s="22" t="s">
        <v>992</v>
      </c>
      <c r="D77" s="22" t="s">
        <v>1029</v>
      </c>
      <c r="E77" s="22" t="s">
        <v>1030</v>
      </c>
      <c r="F77" s="22" t="s">
        <v>832</v>
      </c>
      <c r="G77" s="22" t="s">
        <v>79</v>
      </c>
      <c r="H77" s="23" t="s">
        <v>63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833</v>
      </c>
    </row>
    <row r="78" ht="24" customHeight="1" spans="1:17" x14ac:dyDescent="0.25">
      <c r="A78" s="21" t="s">
        <v>1031</v>
      </c>
      <c r="B78" s="22" t="s">
        <v>20</v>
      </c>
      <c r="C78" s="22" t="s">
        <v>992</v>
      </c>
      <c r="D78" s="22" t="s">
        <v>1032</v>
      </c>
      <c r="E78" s="22" t="s">
        <v>1033</v>
      </c>
      <c r="F78" s="22" t="s">
        <v>837</v>
      </c>
      <c r="G78" s="22" t="s">
        <v>79</v>
      </c>
      <c r="H78" s="26" t="s">
        <v>73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838</v>
      </c>
    </row>
    <row r="79" ht="24" customHeight="1" spans="1:17" x14ac:dyDescent="0.25">
      <c r="A79" s="21" t="s">
        <v>1034</v>
      </c>
      <c r="B79" s="22" t="s">
        <v>20</v>
      </c>
      <c r="C79" s="22" t="s">
        <v>992</v>
      </c>
      <c r="D79" s="22" t="s">
        <v>1035</v>
      </c>
      <c r="E79" s="22" t="s">
        <v>1036</v>
      </c>
      <c r="F79" s="22" t="s">
        <v>842</v>
      </c>
      <c r="G79" s="22" t="s">
        <v>79</v>
      </c>
      <c r="H79" s="23" t="s">
        <v>63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843</v>
      </c>
    </row>
    <row r="80" ht="24" customHeight="1" spans="1:17" x14ac:dyDescent="0.25">
      <c r="A80" s="21" t="s">
        <v>1037</v>
      </c>
      <c r="B80" s="22" t="s">
        <v>20</v>
      </c>
      <c r="C80" s="22" t="s">
        <v>992</v>
      </c>
      <c r="D80" s="22" t="s">
        <v>1038</v>
      </c>
      <c r="E80" s="22" t="s">
        <v>1039</v>
      </c>
      <c r="F80" s="22" t="s">
        <v>847</v>
      </c>
      <c r="G80" s="22" t="s">
        <v>79</v>
      </c>
      <c r="H80" s="23" t="s">
        <v>63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848</v>
      </c>
    </row>
    <row r="81" ht="24" customHeight="1" spans="1:17" x14ac:dyDescent="0.25">
      <c r="A81" s="21" t="s">
        <v>1040</v>
      </c>
      <c r="B81" s="22" t="s">
        <v>20</v>
      </c>
      <c r="C81" s="22" t="s">
        <v>992</v>
      </c>
      <c r="D81" s="22" t="s">
        <v>1041</v>
      </c>
      <c r="E81" s="22" t="s">
        <v>1042</v>
      </c>
      <c r="F81" s="22" t="s">
        <v>852</v>
      </c>
      <c r="G81" s="22" t="s">
        <v>79</v>
      </c>
      <c r="H81" s="9" t="s">
        <v>101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853</v>
      </c>
    </row>
    <row r="82" ht="24" customHeight="1" spans="1:17" x14ac:dyDescent="0.25">
      <c r="A82" s="21" t="s">
        <v>1043</v>
      </c>
      <c r="B82" s="22" t="s">
        <v>20</v>
      </c>
      <c r="C82" s="22" t="s">
        <v>992</v>
      </c>
      <c r="D82" s="22" t="s">
        <v>1044</v>
      </c>
      <c r="E82" s="22" t="s">
        <v>1045</v>
      </c>
      <c r="F82" s="22" t="s">
        <v>857</v>
      </c>
      <c r="G82" s="22" t="s">
        <v>79</v>
      </c>
      <c r="H82" s="9" t="s">
        <v>101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858</v>
      </c>
    </row>
    <row r="83" ht="24" customHeight="1" spans="1:17" x14ac:dyDescent="0.25">
      <c r="A83" s="21" t="s">
        <v>1046</v>
      </c>
      <c r="B83" s="22" t="s">
        <v>20</v>
      </c>
      <c r="C83" s="22" t="s">
        <v>992</v>
      </c>
      <c r="D83" s="22" t="s">
        <v>1047</v>
      </c>
      <c r="E83" s="22" t="s">
        <v>1048</v>
      </c>
      <c r="F83" s="22" t="s">
        <v>862</v>
      </c>
      <c r="G83" s="22" t="s">
        <v>79</v>
      </c>
      <c r="H83" s="23" t="s">
        <v>63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863</v>
      </c>
    </row>
    <row r="84" ht="24" customHeight="1" spans="1:17" x14ac:dyDescent="0.25">
      <c r="A84" s="21" t="s">
        <v>1049</v>
      </c>
      <c r="B84" s="22" t="s">
        <v>20</v>
      </c>
      <c r="C84" s="22" t="s">
        <v>992</v>
      </c>
      <c r="D84" s="22" t="s">
        <v>1050</v>
      </c>
      <c r="E84" s="22" t="s">
        <v>1051</v>
      </c>
      <c r="F84" s="22" t="s">
        <v>867</v>
      </c>
      <c r="G84" s="22" t="s">
        <v>79</v>
      </c>
      <c r="H84" s="23" t="s">
        <v>63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868</v>
      </c>
    </row>
    <row r="85" ht="24" customHeight="1" spans="1:17" x14ac:dyDescent="0.25">
      <c r="A85" s="21" t="s">
        <v>1052</v>
      </c>
      <c r="B85" s="22" t="s">
        <v>20</v>
      </c>
      <c r="C85" s="22" t="s">
        <v>1053</v>
      </c>
      <c r="D85" s="22" t="s">
        <v>1054</v>
      </c>
      <c r="E85" s="22" t="s">
        <v>1055</v>
      </c>
      <c r="F85" s="22" t="s">
        <v>772</v>
      </c>
      <c r="G85" s="22" t="s">
        <v>79</v>
      </c>
      <c r="H85" s="26" t="s">
        <v>73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773</v>
      </c>
    </row>
    <row r="86" ht="24" customHeight="1" spans="1:17" x14ac:dyDescent="0.25">
      <c r="A86" s="21" t="s">
        <v>1056</v>
      </c>
      <c r="B86" s="22" t="s">
        <v>20</v>
      </c>
      <c r="C86" s="22" t="s">
        <v>1053</v>
      </c>
      <c r="D86" s="22" t="s">
        <v>1057</v>
      </c>
      <c r="E86" s="22" t="s">
        <v>1058</v>
      </c>
      <c r="F86" s="22" t="s">
        <v>777</v>
      </c>
      <c r="G86" s="22" t="s">
        <v>79</v>
      </c>
      <c r="H86" s="9" t="s">
        <v>101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778</v>
      </c>
    </row>
    <row r="87" ht="24" customHeight="1" spans="1:17" x14ac:dyDescent="0.25">
      <c r="A87" s="21" t="s">
        <v>1059</v>
      </c>
      <c r="B87" s="22" t="s">
        <v>20</v>
      </c>
      <c r="C87" s="22" t="s">
        <v>1053</v>
      </c>
      <c r="D87" s="22" t="s">
        <v>1060</v>
      </c>
      <c r="E87" s="22" t="s">
        <v>1061</v>
      </c>
      <c r="F87" s="22" t="s">
        <v>782</v>
      </c>
      <c r="G87" s="22" t="s">
        <v>79</v>
      </c>
      <c r="H87" s="26" t="s">
        <v>73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783</v>
      </c>
    </row>
    <row r="88" ht="24" customHeight="1" spans="1:17" x14ac:dyDescent="0.25">
      <c r="A88" s="21" t="s">
        <v>1062</v>
      </c>
      <c r="B88" s="22" t="s">
        <v>20</v>
      </c>
      <c r="C88" s="22" t="s">
        <v>1053</v>
      </c>
      <c r="D88" s="22" t="s">
        <v>1063</v>
      </c>
      <c r="E88" s="22" t="s">
        <v>1064</v>
      </c>
      <c r="F88" s="22" t="s">
        <v>787</v>
      </c>
      <c r="G88" s="22" t="s">
        <v>79</v>
      </c>
      <c r="H88" s="9" t="s">
        <v>101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788</v>
      </c>
    </row>
    <row r="89" ht="24" customHeight="1" spans="1:17" x14ac:dyDescent="0.25">
      <c r="A89" s="21" t="s">
        <v>1065</v>
      </c>
      <c r="B89" s="22" t="s">
        <v>20</v>
      </c>
      <c r="C89" s="22" t="s">
        <v>1053</v>
      </c>
      <c r="D89" s="22" t="s">
        <v>1066</v>
      </c>
      <c r="E89" s="22" t="s">
        <v>1067</v>
      </c>
      <c r="F89" s="22" t="s">
        <v>792</v>
      </c>
      <c r="G89" s="22" t="s">
        <v>79</v>
      </c>
      <c r="H89" s="23" t="s">
        <v>63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793</v>
      </c>
    </row>
    <row r="90" ht="24" customHeight="1" spans="1:17" x14ac:dyDescent="0.25">
      <c r="A90" s="21" t="s">
        <v>1068</v>
      </c>
      <c r="B90" s="22" t="s">
        <v>20</v>
      </c>
      <c r="C90" s="22" t="s">
        <v>1053</v>
      </c>
      <c r="D90" s="22" t="s">
        <v>1069</v>
      </c>
      <c r="E90" s="22" t="s">
        <v>1070</v>
      </c>
      <c r="F90" s="22" t="s">
        <v>797</v>
      </c>
      <c r="G90" s="22" t="s">
        <v>79</v>
      </c>
      <c r="H90" s="26" t="s">
        <v>73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798</v>
      </c>
    </row>
    <row r="91" ht="24" customHeight="1" spans="1:17" x14ac:dyDescent="0.25">
      <c r="A91" s="21" t="s">
        <v>1071</v>
      </c>
      <c r="B91" s="22" t="s">
        <v>20</v>
      </c>
      <c r="C91" s="22" t="s">
        <v>1053</v>
      </c>
      <c r="D91" s="22" t="s">
        <v>1072</v>
      </c>
      <c r="E91" s="22" t="s">
        <v>1073</v>
      </c>
      <c r="F91" s="22" t="s">
        <v>802</v>
      </c>
      <c r="G91" s="22" t="s">
        <v>79</v>
      </c>
      <c r="H91" s="9" t="s">
        <v>101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803</v>
      </c>
    </row>
    <row r="92" ht="24" customHeight="1" spans="1:17" x14ac:dyDescent="0.25">
      <c r="A92" s="21" t="s">
        <v>1074</v>
      </c>
      <c r="B92" s="22" t="s">
        <v>20</v>
      </c>
      <c r="C92" s="22" t="s">
        <v>1053</v>
      </c>
      <c r="D92" s="22" t="s">
        <v>1075</v>
      </c>
      <c r="E92" s="22" t="s">
        <v>1076</v>
      </c>
      <c r="F92" s="22" t="s">
        <v>807</v>
      </c>
      <c r="G92" s="22" t="s">
        <v>79</v>
      </c>
      <c r="H92" s="23" t="s">
        <v>63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808</v>
      </c>
    </row>
    <row r="93" ht="24" customHeight="1" spans="1:17" x14ac:dyDescent="0.25">
      <c r="A93" s="21" t="s">
        <v>1077</v>
      </c>
      <c r="B93" s="22" t="s">
        <v>20</v>
      </c>
      <c r="C93" s="22" t="s">
        <v>1053</v>
      </c>
      <c r="D93" s="22" t="s">
        <v>1078</v>
      </c>
      <c r="E93" s="22" t="s">
        <v>1079</v>
      </c>
      <c r="F93" s="22" t="s">
        <v>812</v>
      </c>
      <c r="G93" s="22" t="s">
        <v>79</v>
      </c>
      <c r="H93" s="23" t="s">
        <v>63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813</v>
      </c>
    </row>
    <row r="94" ht="24" customHeight="1" spans="1:17" x14ac:dyDescent="0.25">
      <c r="A94" s="21" t="s">
        <v>1080</v>
      </c>
      <c r="B94" s="22" t="s">
        <v>20</v>
      </c>
      <c r="C94" s="22" t="s">
        <v>1053</v>
      </c>
      <c r="D94" s="22" t="s">
        <v>1081</v>
      </c>
      <c r="E94" s="22" t="s">
        <v>1082</v>
      </c>
      <c r="F94" s="22" t="s">
        <v>817</v>
      </c>
      <c r="G94" s="22" t="s">
        <v>79</v>
      </c>
      <c r="H94" s="23" t="s">
        <v>63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818</v>
      </c>
    </row>
    <row r="95" ht="24" customHeight="1" spans="1:17" x14ac:dyDescent="0.25">
      <c r="A95" s="21" t="s">
        <v>1083</v>
      </c>
      <c r="B95" s="22" t="s">
        <v>20</v>
      </c>
      <c r="C95" s="22" t="s">
        <v>1053</v>
      </c>
      <c r="D95" s="22" t="s">
        <v>1084</v>
      </c>
      <c r="E95" s="22" t="s">
        <v>1085</v>
      </c>
      <c r="F95" s="22" t="s">
        <v>822</v>
      </c>
      <c r="G95" s="22" t="s">
        <v>79</v>
      </c>
      <c r="H95" s="26" t="s">
        <v>73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823</v>
      </c>
    </row>
    <row r="96" ht="24" customHeight="1" spans="1:17" x14ac:dyDescent="0.25">
      <c r="A96" s="21" t="s">
        <v>1086</v>
      </c>
      <c r="B96" s="22" t="s">
        <v>20</v>
      </c>
      <c r="C96" s="22" t="s">
        <v>1053</v>
      </c>
      <c r="D96" s="22" t="s">
        <v>1087</v>
      </c>
      <c r="E96" s="22" t="s">
        <v>1088</v>
      </c>
      <c r="F96" s="22" t="s">
        <v>827</v>
      </c>
      <c r="G96" s="22" t="s">
        <v>79</v>
      </c>
      <c r="H96" s="23" t="s">
        <v>63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828</v>
      </c>
    </row>
    <row r="97" ht="24" customHeight="1" spans="1:17" x14ac:dyDescent="0.25">
      <c r="A97" s="21" t="s">
        <v>1089</v>
      </c>
      <c r="B97" s="22" t="s">
        <v>20</v>
      </c>
      <c r="C97" s="22" t="s">
        <v>1053</v>
      </c>
      <c r="D97" s="22" t="s">
        <v>1090</v>
      </c>
      <c r="E97" s="22" t="s">
        <v>1091</v>
      </c>
      <c r="F97" s="22" t="s">
        <v>832</v>
      </c>
      <c r="G97" s="22" t="s">
        <v>79</v>
      </c>
      <c r="H97" s="23" t="s">
        <v>63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833</v>
      </c>
    </row>
    <row r="98" ht="24" customHeight="1" spans="1:17" x14ac:dyDescent="0.25">
      <c r="A98" s="21" t="s">
        <v>1092</v>
      </c>
      <c r="B98" s="22" t="s">
        <v>20</v>
      </c>
      <c r="C98" s="22" t="s">
        <v>1053</v>
      </c>
      <c r="D98" s="22" t="s">
        <v>1093</v>
      </c>
      <c r="E98" s="22" t="s">
        <v>1094</v>
      </c>
      <c r="F98" s="22" t="s">
        <v>837</v>
      </c>
      <c r="G98" s="22" t="s">
        <v>79</v>
      </c>
      <c r="H98" s="26" t="s">
        <v>73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838</v>
      </c>
    </row>
    <row r="99" ht="24" customHeight="1" spans="1:17" x14ac:dyDescent="0.25">
      <c r="A99" s="21" t="s">
        <v>1095</v>
      </c>
      <c r="B99" s="22" t="s">
        <v>20</v>
      </c>
      <c r="C99" s="22" t="s">
        <v>1053</v>
      </c>
      <c r="D99" s="22" t="s">
        <v>1096</v>
      </c>
      <c r="E99" s="22" t="s">
        <v>1097</v>
      </c>
      <c r="F99" s="22" t="s">
        <v>842</v>
      </c>
      <c r="G99" s="22" t="s">
        <v>79</v>
      </c>
      <c r="H99" s="23" t="s">
        <v>63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843</v>
      </c>
    </row>
    <row r="100" ht="24" customHeight="1" spans="1:17" x14ac:dyDescent="0.25">
      <c r="A100" s="21" t="s">
        <v>1098</v>
      </c>
      <c r="B100" s="22" t="s">
        <v>20</v>
      </c>
      <c r="C100" s="22" t="s">
        <v>1053</v>
      </c>
      <c r="D100" s="22" t="s">
        <v>1099</v>
      </c>
      <c r="E100" s="22" t="s">
        <v>1100</v>
      </c>
      <c r="F100" s="22" t="s">
        <v>847</v>
      </c>
      <c r="G100" s="22" t="s">
        <v>79</v>
      </c>
      <c r="H100" s="23" t="s">
        <v>63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848</v>
      </c>
    </row>
    <row r="101" ht="24" customHeight="1" spans="1:17" x14ac:dyDescent="0.25">
      <c r="A101" s="21" t="s">
        <v>1101</v>
      </c>
      <c r="B101" s="22" t="s">
        <v>20</v>
      </c>
      <c r="C101" s="22" t="s">
        <v>1053</v>
      </c>
      <c r="D101" s="22" t="s">
        <v>1102</v>
      </c>
      <c r="E101" s="22" t="s">
        <v>1103</v>
      </c>
      <c r="F101" s="22" t="s">
        <v>852</v>
      </c>
      <c r="G101" s="22" t="s">
        <v>79</v>
      </c>
      <c r="H101" s="9" t="s">
        <v>101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853</v>
      </c>
    </row>
    <row r="102" ht="24" customHeight="1" spans="1:17" x14ac:dyDescent="0.25">
      <c r="A102" s="21" t="s">
        <v>1104</v>
      </c>
      <c r="B102" s="22" t="s">
        <v>20</v>
      </c>
      <c r="C102" s="22" t="s">
        <v>1053</v>
      </c>
      <c r="D102" s="22" t="s">
        <v>1105</v>
      </c>
      <c r="E102" s="22" t="s">
        <v>1106</v>
      </c>
      <c r="F102" s="22" t="s">
        <v>857</v>
      </c>
      <c r="G102" s="22" t="s">
        <v>79</v>
      </c>
      <c r="H102" s="9" t="s">
        <v>101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858</v>
      </c>
    </row>
    <row r="103" ht="24" customHeight="1" spans="1:17" x14ac:dyDescent="0.25">
      <c r="A103" s="21" t="s">
        <v>1107</v>
      </c>
      <c r="B103" s="22" t="s">
        <v>20</v>
      </c>
      <c r="C103" s="22" t="s">
        <v>1053</v>
      </c>
      <c r="D103" s="22" t="s">
        <v>1108</v>
      </c>
      <c r="E103" s="22" t="s">
        <v>1109</v>
      </c>
      <c r="F103" s="22" t="s">
        <v>862</v>
      </c>
      <c r="G103" s="22" t="s">
        <v>79</v>
      </c>
      <c r="H103" s="23" t="s">
        <v>63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863</v>
      </c>
    </row>
    <row r="104" ht="24" customHeight="1" spans="1:17" x14ac:dyDescent="0.25">
      <c r="A104" s="21" t="s">
        <v>1110</v>
      </c>
      <c r="B104" s="22" t="s">
        <v>20</v>
      </c>
      <c r="C104" s="22" t="s">
        <v>1053</v>
      </c>
      <c r="D104" s="22" t="s">
        <v>1111</v>
      </c>
      <c r="E104" s="22" t="s">
        <v>1112</v>
      </c>
      <c r="F104" s="22" t="s">
        <v>867</v>
      </c>
      <c r="G104" s="22" t="s">
        <v>79</v>
      </c>
      <c r="H104" s="23" t="s">
        <v>63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868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30" t="s">
        <v>1113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ht="24" customHeight="1" spans="1:17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1114</v>
      </c>
      <c r="B5" s="22" t="s">
        <v>22</v>
      </c>
      <c r="C5" s="22" t="s">
        <v>1115</v>
      </c>
      <c r="D5" s="22" t="s">
        <v>1116</v>
      </c>
      <c r="E5" s="22" t="s">
        <v>1117</v>
      </c>
      <c r="F5" s="22" t="s">
        <v>1118</v>
      </c>
      <c r="G5" s="22" t="s">
        <v>79</v>
      </c>
      <c r="H5" s="26" t="s">
        <v>73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1119</v>
      </c>
    </row>
    <row r="6" ht="24" customHeight="1" spans="1:17" x14ac:dyDescent="0.25">
      <c r="A6" s="21" t="s">
        <v>1120</v>
      </c>
      <c r="B6" s="22" t="s">
        <v>22</v>
      </c>
      <c r="C6" s="22" t="s">
        <v>1115</v>
      </c>
      <c r="D6" s="22" t="s">
        <v>1121</v>
      </c>
      <c r="E6" s="22" t="s">
        <v>1122</v>
      </c>
      <c r="F6" s="22" t="s">
        <v>1123</v>
      </c>
      <c r="G6" s="22" t="s">
        <v>79</v>
      </c>
      <c r="H6" s="23" t="s">
        <v>63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1124</v>
      </c>
    </row>
    <row r="7" ht="24" customHeight="1" spans="1:17" x14ac:dyDescent="0.25">
      <c r="A7" s="21" t="s">
        <v>1125</v>
      </c>
      <c r="B7" s="22" t="s">
        <v>22</v>
      </c>
      <c r="C7" s="22" t="s">
        <v>1115</v>
      </c>
      <c r="D7" s="22" t="s">
        <v>1126</v>
      </c>
      <c r="E7" s="22" t="s">
        <v>1127</v>
      </c>
      <c r="F7" s="22" t="s">
        <v>1128</v>
      </c>
      <c r="G7" s="22" t="s">
        <v>79</v>
      </c>
      <c r="H7" s="9" t="s">
        <v>101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1129</v>
      </c>
    </row>
    <row r="8" ht="24" customHeight="1" spans="1:17" x14ac:dyDescent="0.25">
      <c r="A8" s="21" t="s">
        <v>1130</v>
      </c>
      <c r="B8" s="22" t="s">
        <v>22</v>
      </c>
      <c r="C8" s="22" t="s">
        <v>1115</v>
      </c>
      <c r="D8" s="22" t="s">
        <v>1131</v>
      </c>
      <c r="E8" s="22" t="s">
        <v>1132</v>
      </c>
      <c r="F8" s="22" t="s">
        <v>1133</v>
      </c>
      <c r="G8" s="22" t="s">
        <v>79</v>
      </c>
      <c r="H8" s="23" t="s">
        <v>63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1134</v>
      </c>
    </row>
    <row r="9" ht="24" customHeight="1" spans="1:17" x14ac:dyDescent="0.25">
      <c r="A9" s="21" t="s">
        <v>1135</v>
      </c>
      <c r="B9" s="22" t="s">
        <v>22</v>
      </c>
      <c r="C9" s="22" t="s">
        <v>1115</v>
      </c>
      <c r="D9" s="22" t="s">
        <v>1136</v>
      </c>
      <c r="E9" s="22" t="s">
        <v>1137</v>
      </c>
      <c r="F9" s="22" t="s">
        <v>1138</v>
      </c>
      <c r="G9" s="22" t="s">
        <v>79</v>
      </c>
      <c r="H9" s="23" t="s">
        <v>63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1139</v>
      </c>
    </row>
    <row r="10" ht="24" customHeight="1" spans="1:17" x14ac:dyDescent="0.25">
      <c r="A10" s="21" t="s">
        <v>1140</v>
      </c>
      <c r="B10" s="22" t="s">
        <v>22</v>
      </c>
      <c r="C10" s="22" t="s">
        <v>1115</v>
      </c>
      <c r="D10" s="22" t="s">
        <v>1141</v>
      </c>
      <c r="E10" s="22" t="s">
        <v>1142</v>
      </c>
      <c r="F10" s="22" t="s">
        <v>1143</v>
      </c>
      <c r="G10" s="22" t="s">
        <v>79</v>
      </c>
      <c r="H10" s="9" t="s">
        <v>101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1144</v>
      </c>
    </row>
    <row r="11" ht="24" customHeight="1" spans="1:17" x14ac:dyDescent="0.25">
      <c r="A11" s="21" t="s">
        <v>1145</v>
      </c>
      <c r="B11" s="22" t="s">
        <v>22</v>
      </c>
      <c r="C11" s="22" t="s">
        <v>1115</v>
      </c>
      <c r="D11" s="22" t="s">
        <v>1146</v>
      </c>
      <c r="E11" s="22" t="s">
        <v>1147</v>
      </c>
      <c r="F11" s="22" t="s">
        <v>1148</v>
      </c>
      <c r="G11" s="22" t="s">
        <v>79</v>
      </c>
      <c r="H11" s="23" t="s">
        <v>63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1149</v>
      </c>
    </row>
    <row r="12" ht="24" customHeight="1" spans="1:17" x14ac:dyDescent="0.25">
      <c r="A12" s="21" t="s">
        <v>1150</v>
      </c>
      <c r="B12" s="22" t="s">
        <v>22</v>
      </c>
      <c r="C12" s="22" t="s">
        <v>1115</v>
      </c>
      <c r="D12" s="22" t="s">
        <v>1151</v>
      </c>
      <c r="E12" s="22" t="s">
        <v>1152</v>
      </c>
      <c r="F12" s="22" t="s">
        <v>1153</v>
      </c>
      <c r="G12" s="22" t="s">
        <v>1154</v>
      </c>
      <c r="H12" s="26" t="s">
        <v>73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1155</v>
      </c>
    </row>
    <row r="13" ht="24" customHeight="1" spans="1:17" x14ac:dyDescent="0.25">
      <c r="A13" s="21" t="s">
        <v>1156</v>
      </c>
      <c r="B13" s="22" t="s">
        <v>22</v>
      </c>
      <c r="C13" s="22" t="s">
        <v>1115</v>
      </c>
      <c r="D13" s="22" t="s">
        <v>1157</v>
      </c>
      <c r="E13" s="22" t="s">
        <v>1158</v>
      </c>
      <c r="F13" s="22" t="s">
        <v>1159</v>
      </c>
      <c r="G13" s="22" t="s">
        <v>79</v>
      </c>
      <c r="H13" s="23" t="s">
        <v>63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1160</v>
      </c>
    </row>
    <row r="14" ht="24" customHeight="1" spans="1:17" x14ac:dyDescent="0.25">
      <c r="A14" s="21" t="s">
        <v>1161</v>
      </c>
      <c r="B14" s="22" t="s">
        <v>22</v>
      </c>
      <c r="C14" s="22" t="s">
        <v>1115</v>
      </c>
      <c r="D14" s="22" t="s">
        <v>1162</v>
      </c>
      <c r="E14" s="22" t="s">
        <v>1163</v>
      </c>
      <c r="F14" s="22" t="s">
        <v>1164</v>
      </c>
      <c r="G14" s="22" t="s">
        <v>1165</v>
      </c>
      <c r="H14" s="9" t="s">
        <v>101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1166</v>
      </c>
    </row>
    <row r="15" ht="24" customHeight="1" spans="1:17" x14ac:dyDescent="0.25">
      <c r="A15" s="21" t="s">
        <v>1167</v>
      </c>
      <c r="B15" s="22" t="s">
        <v>22</v>
      </c>
      <c r="C15" s="22" t="s">
        <v>1115</v>
      </c>
      <c r="D15" s="22" t="s">
        <v>1168</v>
      </c>
      <c r="E15" s="22" t="s">
        <v>1169</v>
      </c>
      <c r="F15" s="22" t="s">
        <v>1170</v>
      </c>
      <c r="G15" s="22" t="s">
        <v>165</v>
      </c>
      <c r="H15" s="23" t="s">
        <v>63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1171</v>
      </c>
    </row>
    <row r="16" ht="24" customHeight="1" spans="1:17" x14ac:dyDescent="0.25">
      <c r="A16" s="21" t="s">
        <v>1172</v>
      </c>
      <c r="B16" s="22" t="s">
        <v>22</v>
      </c>
      <c r="C16" s="22" t="s">
        <v>1115</v>
      </c>
      <c r="D16" s="22" t="s">
        <v>1173</v>
      </c>
      <c r="E16" s="22" t="s">
        <v>1174</v>
      </c>
      <c r="F16" s="22" t="s">
        <v>1175</v>
      </c>
      <c r="G16" s="22" t="s">
        <v>72</v>
      </c>
      <c r="H16" s="23" t="s">
        <v>63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1176</v>
      </c>
    </row>
    <row r="17" ht="24" customHeight="1" spans="1:17" x14ac:dyDescent="0.25">
      <c r="A17" s="21" t="s">
        <v>1177</v>
      </c>
      <c r="B17" s="22" t="s">
        <v>22</v>
      </c>
      <c r="C17" s="22" t="s">
        <v>1115</v>
      </c>
      <c r="D17" s="22" t="s">
        <v>1178</v>
      </c>
      <c r="E17" s="22" t="s">
        <v>1179</v>
      </c>
      <c r="F17" s="22" t="s">
        <v>1180</v>
      </c>
      <c r="G17" s="22" t="s">
        <v>79</v>
      </c>
      <c r="H17" s="9" t="s">
        <v>101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1181</v>
      </c>
    </row>
    <row r="18" ht="24" customHeight="1" spans="1:17" x14ac:dyDescent="0.25">
      <c r="A18" s="21" t="s">
        <v>1182</v>
      </c>
      <c r="B18" s="22" t="s">
        <v>22</v>
      </c>
      <c r="C18" s="22" t="s">
        <v>1115</v>
      </c>
      <c r="D18" s="22" t="s">
        <v>1183</v>
      </c>
      <c r="E18" s="22" t="s">
        <v>1184</v>
      </c>
      <c r="F18" s="22" t="s">
        <v>1185</v>
      </c>
      <c r="G18" s="22" t="s">
        <v>79</v>
      </c>
      <c r="H18" s="23" t="s">
        <v>63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1186</v>
      </c>
    </row>
    <row r="19" ht="24" customHeight="1" spans="1:17" x14ac:dyDescent="0.25">
      <c r="A19" s="21" t="s">
        <v>1187</v>
      </c>
      <c r="B19" s="22" t="s">
        <v>22</v>
      </c>
      <c r="C19" s="22" t="s">
        <v>1115</v>
      </c>
      <c r="D19" s="22" t="s">
        <v>1188</v>
      </c>
      <c r="E19" s="22" t="s">
        <v>1189</v>
      </c>
      <c r="F19" s="22" t="s">
        <v>1190</v>
      </c>
      <c r="G19" s="22" t="s">
        <v>79</v>
      </c>
      <c r="H19" s="23" t="s">
        <v>63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1191</v>
      </c>
    </row>
    <row r="20" ht="24" customHeight="1" spans="1:17" x14ac:dyDescent="0.25">
      <c r="A20" s="21" t="s">
        <v>1192</v>
      </c>
      <c r="B20" s="22" t="s">
        <v>22</v>
      </c>
      <c r="C20" s="22" t="s">
        <v>1115</v>
      </c>
      <c r="D20" s="22" t="s">
        <v>1193</v>
      </c>
      <c r="E20" s="22" t="s">
        <v>1194</v>
      </c>
      <c r="F20" s="22" t="s">
        <v>1195</v>
      </c>
      <c r="G20" s="22" t="s">
        <v>165</v>
      </c>
      <c r="H20" s="26" t="s">
        <v>73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1196</v>
      </c>
    </row>
    <row r="21" ht="24" customHeight="1" spans="1:17" x14ac:dyDescent="0.25">
      <c r="A21" s="21" t="s">
        <v>1197</v>
      </c>
      <c r="B21" s="22" t="s">
        <v>22</v>
      </c>
      <c r="C21" s="22" t="s">
        <v>1115</v>
      </c>
      <c r="D21" s="22" t="s">
        <v>1198</v>
      </c>
      <c r="E21" s="22" t="s">
        <v>1199</v>
      </c>
      <c r="F21" s="22" t="s">
        <v>1200</v>
      </c>
      <c r="G21" s="22" t="s">
        <v>1201</v>
      </c>
      <c r="H21" s="23" t="s">
        <v>63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1202</v>
      </c>
    </row>
    <row r="22" ht="24" customHeight="1" spans="1:17" x14ac:dyDescent="0.25">
      <c r="A22" s="21" t="s">
        <v>1203</v>
      </c>
      <c r="B22" s="22" t="s">
        <v>22</v>
      </c>
      <c r="C22" s="22" t="s">
        <v>1115</v>
      </c>
      <c r="D22" s="22" t="s">
        <v>1204</v>
      </c>
      <c r="E22" s="22" t="s">
        <v>1205</v>
      </c>
      <c r="F22" s="22" t="s">
        <v>1206</v>
      </c>
      <c r="G22" s="22" t="s">
        <v>1154</v>
      </c>
      <c r="H22" s="23" t="s">
        <v>63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1207</v>
      </c>
    </row>
    <row r="23" ht="24" customHeight="1" spans="1:17" x14ac:dyDescent="0.25">
      <c r="A23" s="21" t="s">
        <v>1208</v>
      </c>
      <c r="B23" s="22" t="s">
        <v>22</v>
      </c>
      <c r="C23" s="22" t="s">
        <v>1115</v>
      </c>
      <c r="D23" s="22" t="s">
        <v>1209</v>
      </c>
      <c r="E23" s="22" t="s">
        <v>1210</v>
      </c>
      <c r="F23" s="22" t="s">
        <v>1211</v>
      </c>
      <c r="G23" s="22" t="s">
        <v>79</v>
      </c>
      <c r="H23" s="9" t="s">
        <v>101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1212</v>
      </c>
    </row>
    <row r="24" ht="24" customHeight="1" spans="1:17" x14ac:dyDescent="0.25">
      <c r="A24" s="21" t="s">
        <v>1213</v>
      </c>
      <c r="B24" s="22" t="s">
        <v>22</v>
      </c>
      <c r="C24" s="22" t="s">
        <v>1115</v>
      </c>
      <c r="D24" s="22" t="s">
        <v>1214</v>
      </c>
      <c r="E24" s="22" t="s">
        <v>1215</v>
      </c>
      <c r="F24" s="22" t="s">
        <v>1216</v>
      </c>
      <c r="G24" s="22" t="s">
        <v>79</v>
      </c>
      <c r="H24" s="9" t="s">
        <v>101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1217</v>
      </c>
    </row>
    <row r="25" ht="24" customHeight="1" spans="1:17" x14ac:dyDescent="0.25">
      <c r="A25" s="21" t="s">
        <v>1218</v>
      </c>
      <c r="B25" s="22" t="s">
        <v>22</v>
      </c>
      <c r="C25" s="22" t="s">
        <v>1219</v>
      </c>
      <c r="D25" s="22" t="s">
        <v>1220</v>
      </c>
      <c r="E25" s="22" t="s">
        <v>1221</v>
      </c>
      <c r="F25" s="22" t="s">
        <v>1118</v>
      </c>
      <c r="G25" s="22" t="s">
        <v>79</v>
      </c>
      <c r="H25" s="26" t="s">
        <v>73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1119</v>
      </c>
    </row>
    <row r="26" ht="24" customHeight="1" spans="1:17" x14ac:dyDescent="0.25">
      <c r="A26" s="21" t="s">
        <v>1222</v>
      </c>
      <c r="B26" s="22" t="s">
        <v>22</v>
      </c>
      <c r="C26" s="22" t="s">
        <v>1219</v>
      </c>
      <c r="D26" s="22" t="s">
        <v>1223</v>
      </c>
      <c r="E26" s="22" t="s">
        <v>1224</v>
      </c>
      <c r="F26" s="22" t="s">
        <v>1123</v>
      </c>
      <c r="G26" s="22" t="s">
        <v>79</v>
      </c>
      <c r="H26" s="23" t="s">
        <v>63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1124</v>
      </c>
    </row>
    <row r="27" ht="24" customHeight="1" spans="1:17" x14ac:dyDescent="0.25">
      <c r="A27" s="21" t="s">
        <v>1225</v>
      </c>
      <c r="B27" s="22" t="s">
        <v>22</v>
      </c>
      <c r="C27" s="22" t="s">
        <v>1219</v>
      </c>
      <c r="D27" s="22" t="s">
        <v>1226</v>
      </c>
      <c r="E27" s="22" t="s">
        <v>1227</v>
      </c>
      <c r="F27" s="22" t="s">
        <v>1128</v>
      </c>
      <c r="G27" s="22" t="s">
        <v>79</v>
      </c>
      <c r="H27" s="9" t="s">
        <v>101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1129</v>
      </c>
    </row>
    <row r="28" ht="24" customHeight="1" spans="1:17" x14ac:dyDescent="0.25">
      <c r="A28" s="21" t="s">
        <v>1228</v>
      </c>
      <c r="B28" s="22" t="s">
        <v>22</v>
      </c>
      <c r="C28" s="22" t="s">
        <v>1219</v>
      </c>
      <c r="D28" s="22" t="s">
        <v>1229</v>
      </c>
      <c r="E28" s="22" t="s">
        <v>1230</v>
      </c>
      <c r="F28" s="22" t="s">
        <v>1133</v>
      </c>
      <c r="G28" s="22" t="s">
        <v>79</v>
      </c>
      <c r="H28" s="23" t="s">
        <v>63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1134</v>
      </c>
    </row>
    <row r="29" ht="24" customHeight="1" spans="1:17" x14ac:dyDescent="0.25">
      <c r="A29" s="21" t="s">
        <v>1231</v>
      </c>
      <c r="B29" s="22" t="s">
        <v>22</v>
      </c>
      <c r="C29" s="22" t="s">
        <v>1219</v>
      </c>
      <c r="D29" s="22" t="s">
        <v>1232</v>
      </c>
      <c r="E29" s="22" t="s">
        <v>1233</v>
      </c>
      <c r="F29" s="22" t="s">
        <v>1138</v>
      </c>
      <c r="G29" s="22" t="s">
        <v>79</v>
      </c>
      <c r="H29" s="23" t="s">
        <v>63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1139</v>
      </c>
    </row>
    <row r="30" ht="24" customHeight="1" spans="1:17" x14ac:dyDescent="0.25">
      <c r="A30" s="21" t="s">
        <v>1234</v>
      </c>
      <c r="B30" s="22" t="s">
        <v>22</v>
      </c>
      <c r="C30" s="22" t="s">
        <v>1219</v>
      </c>
      <c r="D30" s="22" t="s">
        <v>1235</v>
      </c>
      <c r="E30" s="22" t="s">
        <v>1236</v>
      </c>
      <c r="F30" s="22" t="s">
        <v>1143</v>
      </c>
      <c r="G30" s="22" t="s">
        <v>79</v>
      </c>
      <c r="H30" s="9" t="s">
        <v>101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1144</v>
      </c>
    </row>
    <row r="31" ht="24" customHeight="1" spans="1:17" x14ac:dyDescent="0.25">
      <c r="A31" s="21" t="s">
        <v>1237</v>
      </c>
      <c r="B31" s="22" t="s">
        <v>22</v>
      </c>
      <c r="C31" s="22" t="s">
        <v>1219</v>
      </c>
      <c r="D31" s="22" t="s">
        <v>1238</v>
      </c>
      <c r="E31" s="22" t="s">
        <v>1239</v>
      </c>
      <c r="F31" s="22" t="s">
        <v>1148</v>
      </c>
      <c r="G31" s="22" t="s">
        <v>79</v>
      </c>
      <c r="H31" s="23" t="s">
        <v>63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1149</v>
      </c>
    </row>
    <row r="32" ht="24" customHeight="1" spans="1:17" x14ac:dyDescent="0.25">
      <c r="A32" s="21" t="s">
        <v>1240</v>
      </c>
      <c r="B32" s="22" t="s">
        <v>22</v>
      </c>
      <c r="C32" s="22" t="s">
        <v>1219</v>
      </c>
      <c r="D32" s="22" t="s">
        <v>1241</v>
      </c>
      <c r="E32" s="22" t="s">
        <v>1242</v>
      </c>
      <c r="F32" s="22" t="s">
        <v>1153</v>
      </c>
      <c r="G32" s="22" t="s">
        <v>1154</v>
      </c>
      <c r="H32" s="26" t="s">
        <v>73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1155</v>
      </c>
    </row>
    <row r="33" ht="24" customHeight="1" spans="1:17" x14ac:dyDescent="0.25">
      <c r="A33" s="21" t="s">
        <v>1243</v>
      </c>
      <c r="B33" s="22" t="s">
        <v>22</v>
      </c>
      <c r="C33" s="22" t="s">
        <v>1219</v>
      </c>
      <c r="D33" s="22" t="s">
        <v>1244</v>
      </c>
      <c r="E33" s="22" t="s">
        <v>1245</v>
      </c>
      <c r="F33" s="22" t="s">
        <v>1159</v>
      </c>
      <c r="G33" s="22" t="s">
        <v>79</v>
      </c>
      <c r="H33" s="23" t="s">
        <v>63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1160</v>
      </c>
    </row>
    <row r="34" ht="24" customHeight="1" spans="1:17" x14ac:dyDescent="0.25">
      <c r="A34" s="21" t="s">
        <v>1246</v>
      </c>
      <c r="B34" s="22" t="s">
        <v>22</v>
      </c>
      <c r="C34" s="22" t="s">
        <v>1219</v>
      </c>
      <c r="D34" s="22" t="s">
        <v>1247</v>
      </c>
      <c r="E34" s="22" t="s">
        <v>1248</v>
      </c>
      <c r="F34" s="22" t="s">
        <v>1164</v>
      </c>
      <c r="G34" s="22" t="s">
        <v>1165</v>
      </c>
      <c r="H34" s="9" t="s">
        <v>101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1166</v>
      </c>
    </row>
    <row r="35" ht="24" customHeight="1" spans="1:17" x14ac:dyDescent="0.25">
      <c r="A35" s="21" t="s">
        <v>1249</v>
      </c>
      <c r="B35" s="22" t="s">
        <v>22</v>
      </c>
      <c r="C35" s="22" t="s">
        <v>1219</v>
      </c>
      <c r="D35" s="22" t="s">
        <v>1250</v>
      </c>
      <c r="E35" s="22" t="s">
        <v>1251</v>
      </c>
      <c r="F35" s="22" t="s">
        <v>1170</v>
      </c>
      <c r="G35" s="22" t="s">
        <v>165</v>
      </c>
      <c r="H35" s="23" t="s">
        <v>63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1171</v>
      </c>
    </row>
    <row r="36" ht="24" customHeight="1" spans="1:17" x14ac:dyDescent="0.25">
      <c r="A36" s="21" t="s">
        <v>1252</v>
      </c>
      <c r="B36" s="22" t="s">
        <v>22</v>
      </c>
      <c r="C36" s="22" t="s">
        <v>1219</v>
      </c>
      <c r="D36" s="22" t="s">
        <v>1253</v>
      </c>
      <c r="E36" s="22" t="s">
        <v>1254</v>
      </c>
      <c r="F36" s="22" t="s">
        <v>1175</v>
      </c>
      <c r="G36" s="22" t="s">
        <v>72</v>
      </c>
      <c r="H36" s="23" t="s">
        <v>63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1176</v>
      </c>
    </row>
    <row r="37" ht="24" customHeight="1" spans="1:17" x14ac:dyDescent="0.25">
      <c r="A37" s="21" t="s">
        <v>1255</v>
      </c>
      <c r="B37" s="22" t="s">
        <v>22</v>
      </c>
      <c r="C37" s="22" t="s">
        <v>1219</v>
      </c>
      <c r="D37" s="22" t="s">
        <v>1256</v>
      </c>
      <c r="E37" s="22" t="s">
        <v>1257</v>
      </c>
      <c r="F37" s="22" t="s">
        <v>1180</v>
      </c>
      <c r="G37" s="22" t="s">
        <v>79</v>
      </c>
      <c r="H37" s="9" t="s">
        <v>101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1181</v>
      </c>
    </row>
    <row r="38" ht="24" customHeight="1" spans="1:17" x14ac:dyDescent="0.25">
      <c r="A38" s="21" t="s">
        <v>1258</v>
      </c>
      <c r="B38" s="22" t="s">
        <v>22</v>
      </c>
      <c r="C38" s="22" t="s">
        <v>1219</v>
      </c>
      <c r="D38" s="22" t="s">
        <v>1259</v>
      </c>
      <c r="E38" s="22" t="s">
        <v>1260</v>
      </c>
      <c r="F38" s="22" t="s">
        <v>1185</v>
      </c>
      <c r="G38" s="22" t="s">
        <v>79</v>
      </c>
      <c r="H38" s="23" t="s">
        <v>63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1186</v>
      </c>
    </row>
    <row r="39" ht="24" customHeight="1" spans="1:17" x14ac:dyDescent="0.25">
      <c r="A39" s="21" t="s">
        <v>1261</v>
      </c>
      <c r="B39" s="22" t="s">
        <v>22</v>
      </c>
      <c r="C39" s="22" t="s">
        <v>1219</v>
      </c>
      <c r="D39" s="22" t="s">
        <v>1262</v>
      </c>
      <c r="E39" s="22" t="s">
        <v>1263</v>
      </c>
      <c r="F39" s="22" t="s">
        <v>1190</v>
      </c>
      <c r="G39" s="22" t="s">
        <v>79</v>
      </c>
      <c r="H39" s="23" t="s">
        <v>63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1191</v>
      </c>
    </row>
    <row r="40" ht="24" customHeight="1" spans="1:17" x14ac:dyDescent="0.25">
      <c r="A40" s="21" t="s">
        <v>1264</v>
      </c>
      <c r="B40" s="22" t="s">
        <v>22</v>
      </c>
      <c r="C40" s="22" t="s">
        <v>1219</v>
      </c>
      <c r="D40" s="22" t="s">
        <v>1265</v>
      </c>
      <c r="E40" s="22" t="s">
        <v>1266</v>
      </c>
      <c r="F40" s="22" t="s">
        <v>1195</v>
      </c>
      <c r="G40" s="22" t="s">
        <v>165</v>
      </c>
      <c r="H40" s="26" t="s">
        <v>73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1196</v>
      </c>
    </row>
    <row r="41" ht="24" customHeight="1" spans="1:17" x14ac:dyDescent="0.25">
      <c r="A41" s="21" t="s">
        <v>1267</v>
      </c>
      <c r="B41" s="22" t="s">
        <v>22</v>
      </c>
      <c r="C41" s="22" t="s">
        <v>1219</v>
      </c>
      <c r="D41" s="22" t="s">
        <v>1268</v>
      </c>
      <c r="E41" s="22" t="s">
        <v>1269</v>
      </c>
      <c r="F41" s="22" t="s">
        <v>1200</v>
      </c>
      <c r="G41" s="22" t="s">
        <v>1201</v>
      </c>
      <c r="H41" s="23" t="s">
        <v>63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1202</v>
      </c>
    </row>
    <row r="42" ht="24" customHeight="1" spans="1:17" x14ac:dyDescent="0.25">
      <c r="A42" s="21" t="s">
        <v>1270</v>
      </c>
      <c r="B42" s="22" t="s">
        <v>22</v>
      </c>
      <c r="C42" s="22" t="s">
        <v>1219</v>
      </c>
      <c r="D42" s="22" t="s">
        <v>1271</v>
      </c>
      <c r="E42" s="22" t="s">
        <v>1272</v>
      </c>
      <c r="F42" s="22" t="s">
        <v>1206</v>
      </c>
      <c r="G42" s="22" t="s">
        <v>1154</v>
      </c>
      <c r="H42" s="23" t="s">
        <v>63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1207</v>
      </c>
    </row>
    <row r="43" ht="24" customHeight="1" spans="1:17" x14ac:dyDescent="0.25">
      <c r="A43" s="21" t="s">
        <v>1273</v>
      </c>
      <c r="B43" s="22" t="s">
        <v>22</v>
      </c>
      <c r="C43" s="22" t="s">
        <v>1219</v>
      </c>
      <c r="D43" s="22" t="s">
        <v>1274</v>
      </c>
      <c r="E43" s="22" t="s">
        <v>1275</v>
      </c>
      <c r="F43" s="22" t="s">
        <v>1211</v>
      </c>
      <c r="G43" s="22" t="s">
        <v>79</v>
      </c>
      <c r="H43" s="9" t="s">
        <v>101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1212</v>
      </c>
    </row>
    <row r="44" ht="24" customHeight="1" spans="1:17" x14ac:dyDescent="0.25">
      <c r="A44" s="21" t="s">
        <v>1276</v>
      </c>
      <c r="B44" s="22" t="s">
        <v>22</v>
      </c>
      <c r="C44" s="22" t="s">
        <v>1219</v>
      </c>
      <c r="D44" s="22" t="s">
        <v>1277</v>
      </c>
      <c r="E44" s="22" t="s">
        <v>1278</v>
      </c>
      <c r="F44" s="22" t="s">
        <v>1216</v>
      </c>
      <c r="G44" s="22" t="s">
        <v>79</v>
      </c>
      <c r="H44" s="9" t="s">
        <v>101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1217</v>
      </c>
    </row>
    <row r="45" ht="24" customHeight="1" spans="1:17" x14ac:dyDescent="0.25">
      <c r="A45" s="21" t="s">
        <v>1279</v>
      </c>
      <c r="B45" s="22" t="s">
        <v>22</v>
      </c>
      <c r="C45" s="22" t="s">
        <v>1280</v>
      </c>
      <c r="D45" s="22" t="s">
        <v>1281</v>
      </c>
      <c r="E45" s="22" t="s">
        <v>1282</v>
      </c>
      <c r="F45" s="22" t="s">
        <v>1118</v>
      </c>
      <c r="G45" s="22" t="s">
        <v>79</v>
      </c>
      <c r="H45" s="26" t="s">
        <v>73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1119</v>
      </c>
    </row>
    <row r="46" ht="24" customHeight="1" spans="1:17" x14ac:dyDescent="0.25">
      <c r="A46" s="21" t="s">
        <v>1283</v>
      </c>
      <c r="B46" s="22" t="s">
        <v>22</v>
      </c>
      <c r="C46" s="22" t="s">
        <v>1280</v>
      </c>
      <c r="D46" s="22" t="s">
        <v>1284</v>
      </c>
      <c r="E46" s="22" t="s">
        <v>1285</v>
      </c>
      <c r="F46" s="22" t="s">
        <v>1123</v>
      </c>
      <c r="G46" s="22" t="s">
        <v>79</v>
      </c>
      <c r="H46" s="23" t="s">
        <v>63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1124</v>
      </c>
    </row>
    <row r="47" ht="24" customHeight="1" spans="1:17" x14ac:dyDescent="0.25">
      <c r="A47" s="21" t="s">
        <v>1286</v>
      </c>
      <c r="B47" s="22" t="s">
        <v>22</v>
      </c>
      <c r="C47" s="22" t="s">
        <v>1280</v>
      </c>
      <c r="D47" s="22" t="s">
        <v>1287</v>
      </c>
      <c r="E47" s="22" t="s">
        <v>1288</v>
      </c>
      <c r="F47" s="22" t="s">
        <v>1128</v>
      </c>
      <c r="G47" s="22" t="s">
        <v>79</v>
      </c>
      <c r="H47" s="9" t="s">
        <v>101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1129</v>
      </c>
    </row>
    <row r="48" ht="24" customHeight="1" spans="1:17" x14ac:dyDescent="0.25">
      <c r="A48" s="21" t="s">
        <v>1289</v>
      </c>
      <c r="B48" s="22" t="s">
        <v>22</v>
      </c>
      <c r="C48" s="22" t="s">
        <v>1280</v>
      </c>
      <c r="D48" s="22" t="s">
        <v>1290</v>
      </c>
      <c r="E48" s="22" t="s">
        <v>1291</v>
      </c>
      <c r="F48" s="22" t="s">
        <v>1133</v>
      </c>
      <c r="G48" s="22" t="s">
        <v>79</v>
      </c>
      <c r="H48" s="23" t="s">
        <v>63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1134</v>
      </c>
    </row>
    <row r="49" ht="24" customHeight="1" spans="1:17" x14ac:dyDescent="0.25">
      <c r="A49" s="21" t="s">
        <v>1292</v>
      </c>
      <c r="B49" s="22" t="s">
        <v>22</v>
      </c>
      <c r="C49" s="22" t="s">
        <v>1280</v>
      </c>
      <c r="D49" s="22" t="s">
        <v>1293</v>
      </c>
      <c r="E49" s="22" t="s">
        <v>1294</v>
      </c>
      <c r="F49" s="22" t="s">
        <v>1138</v>
      </c>
      <c r="G49" s="22" t="s">
        <v>79</v>
      </c>
      <c r="H49" s="23" t="s">
        <v>63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1139</v>
      </c>
    </row>
    <row r="50" ht="24" customHeight="1" spans="1:17" x14ac:dyDescent="0.25">
      <c r="A50" s="21" t="s">
        <v>1295</v>
      </c>
      <c r="B50" s="22" t="s">
        <v>22</v>
      </c>
      <c r="C50" s="22" t="s">
        <v>1280</v>
      </c>
      <c r="D50" s="22" t="s">
        <v>1296</v>
      </c>
      <c r="E50" s="22" t="s">
        <v>1297</v>
      </c>
      <c r="F50" s="22" t="s">
        <v>1143</v>
      </c>
      <c r="G50" s="22" t="s">
        <v>79</v>
      </c>
      <c r="H50" s="9" t="s">
        <v>101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1144</v>
      </c>
    </row>
    <row r="51" ht="24" customHeight="1" spans="1:17" x14ac:dyDescent="0.25">
      <c r="A51" s="21" t="s">
        <v>1298</v>
      </c>
      <c r="B51" s="22" t="s">
        <v>22</v>
      </c>
      <c r="C51" s="22" t="s">
        <v>1280</v>
      </c>
      <c r="D51" s="22" t="s">
        <v>1299</v>
      </c>
      <c r="E51" s="22" t="s">
        <v>1300</v>
      </c>
      <c r="F51" s="22" t="s">
        <v>1148</v>
      </c>
      <c r="G51" s="22" t="s">
        <v>79</v>
      </c>
      <c r="H51" s="23" t="s">
        <v>63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1149</v>
      </c>
    </row>
    <row r="52" ht="24" customHeight="1" spans="1:17" x14ac:dyDescent="0.25">
      <c r="A52" s="21" t="s">
        <v>1301</v>
      </c>
      <c r="B52" s="22" t="s">
        <v>22</v>
      </c>
      <c r="C52" s="22" t="s">
        <v>1280</v>
      </c>
      <c r="D52" s="22" t="s">
        <v>1302</v>
      </c>
      <c r="E52" s="22" t="s">
        <v>1303</v>
      </c>
      <c r="F52" s="22" t="s">
        <v>1153</v>
      </c>
      <c r="G52" s="22" t="s">
        <v>1154</v>
      </c>
      <c r="H52" s="26" t="s">
        <v>73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1155</v>
      </c>
    </row>
    <row r="53" ht="24" customHeight="1" spans="1:17" x14ac:dyDescent="0.25">
      <c r="A53" s="21" t="s">
        <v>1304</v>
      </c>
      <c r="B53" s="22" t="s">
        <v>22</v>
      </c>
      <c r="C53" s="22" t="s">
        <v>1280</v>
      </c>
      <c r="D53" s="22" t="s">
        <v>1305</v>
      </c>
      <c r="E53" s="22" t="s">
        <v>1306</v>
      </c>
      <c r="F53" s="22" t="s">
        <v>1159</v>
      </c>
      <c r="G53" s="22" t="s">
        <v>79</v>
      </c>
      <c r="H53" s="23" t="s">
        <v>63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1160</v>
      </c>
    </row>
    <row r="54" ht="24" customHeight="1" spans="1:17" x14ac:dyDescent="0.25">
      <c r="A54" s="21" t="s">
        <v>1307</v>
      </c>
      <c r="B54" s="22" t="s">
        <v>22</v>
      </c>
      <c r="C54" s="22" t="s">
        <v>1280</v>
      </c>
      <c r="D54" s="22" t="s">
        <v>1308</v>
      </c>
      <c r="E54" s="22" t="s">
        <v>1309</v>
      </c>
      <c r="F54" s="22" t="s">
        <v>1164</v>
      </c>
      <c r="G54" s="22" t="s">
        <v>1165</v>
      </c>
      <c r="H54" s="9" t="s">
        <v>101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1166</v>
      </c>
    </row>
    <row r="55" ht="24" customHeight="1" spans="1:17" x14ac:dyDescent="0.25">
      <c r="A55" s="21" t="s">
        <v>1310</v>
      </c>
      <c r="B55" s="22" t="s">
        <v>22</v>
      </c>
      <c r="C55" s="22" t="s">
        <v>1280</v>
      </c>
      <c r="D55" s="22" t="s">
        <v>1311</v>
      </c>
      <c r="E55" s="22" t="s">
        <v>1312</v>
      </c>
      <c r="F55" s="22" t="s">
        <v>1170</v>
      </c>
      <c r="G55" s="22" t="s">
        <v>165</v>
      </c>
      <c r="H55" s="23" t="s">
        <v>63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1171</v>
      </c>
    </row>
    <row r="56" ht="24" customHeight="1" spans="1:17" x14ac:dyDescent="0.25">
      <c r="A56" s="21" t="s">
        <v>1313</v>
      </c>
      <c r="B56" s="22" t="s">
        <v>22</v>
      </c>
      <c r="C56" s="22" t="s">
        <v>1280</v>
      </c>
      <c r="D56" s="22" t="s">
        <v>1314</v>
      </c>
      <c r="E56" s="22" t="s">
        <v>1315</v>
      </c>
      <c r="F56" s="22" t="s">
        <v>1175</v>
      </c>
      <c r="G56" s="22" t="s">
        <v>72</v>
      </c>
      <c r="H56" s="23" t="s">
        <v>63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1176</v>
      </c>
    </row>
    <row r="57" ht="24" customHeight="1" spans="1:17" x14ac:dyDescent="0.25">
      <c r="A57" s="21" t="s">
        <v>1316</v>
      </c>
      <c r="B57" s="22" t="s">
        <v>22</v>
      </c>
      <c r="C57" s="22" t="s">
        <v>1280</v>
      </c>
      <c r="D57" s="22" t="s">
        <v>1317</v>
      </c>
      <c r="E57" s="22" t="s">
        <v>1318</v>
      </c>
      <c r="F57" s="22" t="s">
        <v>1180</v>
      </c>
      <c r="G57" s="22" t="s">
        <v>79</v>
      </c>
      <c r="H57" s="9" t="s">
        <v>101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1181</v>
      </c>
    </row>
    <row r="58" ht="24" customHeight="1" spans="1:17" x14ac:dyDescent="0.25">
      <c r="A58" s="21" t="s">
        <v>1319</v>
      </c>
      <c r="B58" s="22" t="s">
        <v>22</v>
      </c>
      <c r="C58" s="22" t="s">
        <v>1280</v>
      </c>
      <c r="D58" s="22" t="s">
        <v>1320</v>
      </c>
      <c r="E58" s="22" t="s">
        <v>1321</v>
      </c>
      <c r="F58" s="22" t="s">
        <v>1185</v>
      </c>
      <c r="G58" s="22" t="s">
        <v>79</v>
      </c>
      <c r="H58" s="23" t="s">
        <v>63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1186</v>
      </c>
    </row>
    <row r="59" ht="24" customHeight="1" spans="1:17" x14ac:dyDescent="0.25">
      <c r="A59" s="21" t="s">
        <v>1322</v>
      </c>
      <c r="B59" s="22" t="s">
        <v>22</v>
      </c>
      <c r="C59" s="22" t="s">
        <v>1280</v>
      </c>
      <c r="D59" s="22" t="s">
        <v>1323</v>
      </c>
      <c r="E59" s="22" t="s">
        <v>1324</v>
      </c>
      <c r="F59" s="22" t="s">
        <v>1190</v>
      </c>
      <c r="G59" s="22" t="s">
        <v>79</v>
      </c>
      <c r="H59" s="23" t="s">
        <v>63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1191</v>
      </c>
    </row>
    <row r="60" ht="24" customHeight="1" spans="1:17" x14ac:dyDescent="0.25">
      <c r="A60" s="21" t="s">
        <v>1325</v>
      </c>
      <c r="B60" s="22" t="s">
        <v>22</v>
      </c>
      <c r="C60" s="22" t="s">
        <v>1280</v>
      </c>
      <c r="D60" s="22" t="s">
        <v>1326</v>
      </c>
      <c r="E60" s="22" t="s">
        <v>1327</v>
      </c>
      <c r="F60" s="22" t="s">
        <v>1195</v>
      </c>
      <c r="G60" s="22" t="s">
        <v>165</v>
      </c>
      <c r="H60" s="26" t="s">
        <v>73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1196</v>
      </c>
    </row>
    <row r="61" ht="24" customHeight="1" spans="1:17" x14ac:dyDescent="0.25">
      <c r="A61" s="21" t="s">
        <v>1328</v>
      </c>
      <c r="B61" s="22" t="s">
        <v>22</v>
      </c>
      <c r="C61" s="22" t="s">
        <v>1280</v>
      </c>
      <c r="D61" s="22" t="s">
        <v>1329</v>
      </c>
      <c r="E61" s="22" t="s">
        <v>1330</v>
      </c>
      <c r="F61" s="22" t="s">
        <v>1200</v>
      </c>
      <c r="G61" s="22" t="s">
        <v>1201</v>
      </c>
      <c r="H61" s="23" t="s">
        <v>63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1202</v>
      </c>
    </row>
    <row r="62" ht="24" customHeight="1" spans="1:17" x14ac:dyDescent="0.25">
      <c r="A62" s="21" t="s">
        <v>1331</v>
      </c>
      <c r="B62" s="22" t="s">
        <v>22</v>
      </c>
      <c r="C62" s="22" t="s">
        <v>1280</v>
      </c>
      <c r="D62" s="22" t="s">
        <v>1332</v>
      </c>
      <c r="E62" s="22" t="s">
        <v>1333</v>
      </c>
      <c r="F62" s="22" t="s">
        <v>1206</v>
      </c>
      <c r="G62" s="22" t="s">
        <v>1154</v>
      </c>
      <c r="H62" s="23" t="s">
        <v>63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1207</v>
      </c>
    </row>
    <row r="63" ht="24" customHeight="1" spans="1:17" x14ac:dyDescent="0.25">
      <c r="A63" s="21" t="s">
        <v>1334</v>
      </c>
      <c r="B63" s="22" t="s">
        <v>22</v>
      </c>
      <c r="C63" s="22" t="s">
        <v>1280</v>
      </c>
      <c r="D63" s="22" t="s">
        <v>1335</v>
      </c>
      <c r="E63" s="22" t="s">
        <v>1336</v>
      </c>
      <c r="F63" s="22" t="s">
        <v>1211</v>
      </c>
      <c r="G63" s="22" t="s">
        <v>79</v>
      </c>
      <c r="H63" s="9" t="s">
        <v>101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1212</v>
      </c>
    </row>
    <row r="64" ht="24" customHeight="1" spans="1:17" x14ac:dyDescent="0.25">
      <c r="A64" s="21" t="s">
        <v>1337</v>
      </c>
      <c r="B64" s="22" t="s">
        <v>22</v>
      </c>
      <c r="C64" s="22" t="s">
        <v>1280</v>
      </c>
      <c r="D64" s="22" t="s">
        <v>1338</v>
      </c>
      <c r="E64" s="22" t="s">
        <v>1339</v>
      </c>
      <c r="F64" s="22" t="s">
        <v>1216</v>
      </c>
      <c r="G64" s="22" t="s">
        <v>79</v>
      </c>
      <c r="H64" s="9" t="s">
        <v>101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1217</v>
      </c>
    </row>
    <row r="65" ht="24" customHeight="1" spans="1:17" x14ac:dyDescent="0.25">
      <c r="A65" s="21" t="s">
        <v>1340</v>
      </c>
      <c r="B65" s="22" t="s">
        <v>22</v>
      </c>
      <c r="C65" s="22" t="s">
        <v>1341</v>
      </c>
      <c r="D65" s="22" t="s">
        <v>1342</v>
      </c>
      <c r="E65" s="22" t="s">
        <v>1343</v>
      </c>
      <c r="F65" s="22" t="s">
        <v>1118</v>
      </c>
      <c r="G65" s="22" t="s">
        <v>79</v>
      </c>
      <c r="H65" s="26" t="s">
        <v>73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1119</v>
      </c>
    </row>
    <row r="66" ht="24" customHeight="1" spans="1:17" x14ac:dyDescent="0.25">
      <c r="A66" s="21" t="s">
        <v>1344</v>
      </c>
      <c r="B66" s="22" t="s">
        <v>22</v>
      </c>
      <c r="C66" s="22" t="s">
        <v>1341</v>
      </c>
      <c r="D66" s="22" t="s">
        <v>1345</v>
      </c>
      <c r="E66" s="22" t="s">
        <v>1346</v>
      </c>
      <c r="F66" s="22" t="s">
        <v>1123</v>
      </c>
      <c r="G66" s="22" t="s">
        <v>79</v>
      </c>
      <c r="H66" s="23" t="s">
        <v>63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1124</v>
      </c>
    </row>
    <row r="67" ht="24" customHeight="1" spans="1:17" x14ac:dyDescent="0.25">
      <c r="A67" s="21" t="s">
        <v>1347</v>
      </c>
      <c r="B67" s="22" t="s">
        <v>22</v>
      </c>
      <c r="C67" s="22" t="s">
        <v>1341</v>
      </c>
      <c r="D67" s="22" t="s">
        <v>1348</v>
      </c>
      <c r="E67" s="22" t="s">
        <v>1349</v>
      </c>
      <c r="F67" s="22" t="s">
        <v>1128</v>
      </c>
      <c r="G67" s="22" t="s">
        <v>79</v>
      </c>
      <c r="H67" s="9" t="s">
        <v>101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1129</v>
      </c>
    </row>
    <row r="68" ht="24" customHeight="1" spans="1:17" x14ac:dyDescent="0.25">
      <c r="A68" s="21" t="s">
        <v>1350</v>
      </c>
      <c r="B68" s="22" t="s">
        <v>22</v>
      </c>
      <c r="C68" s="22" t="s">
        <v>1341</v>
      </c>
      <c r="D68" s="22" t="s">
        <v>1351</v>
      </c>
      <c r="E68" s="22" t="s">
        <v>1352</v>
      </c>
      <c r="F68" s="22" t="s">
        <v>1133</v>
      </c>
      <c r="G68" s="22" t="s">
        <v>79</v>
      </c>
      <c r="H68" s="23" t="s">
        <v>63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1134</v>
      </c>
    </row>
    <row r="69" ht="24" customHeight="1" spans="1:17" x14ac:dyDescent="0.25">
      <c r="A69" s="21" t="s">
        <v>1353</v>
      </c>
      <c r="B69" s="22" t="s">
        <v>22</v>
      </c>
      <c r="C69" s="22" t="s">
        <v>1341</v>
      </c>
      <c r="D69" s="22" t="s">
        <v>1354</v>
      </c>
      <c r="E69" s="22" t="s">
        <v>1355</v>
      </c>
      <c r="F69" s="22" t="s">
        <v>1138</v>
      </c>
      <c r="G69" s="22" t="s">
        <v>79</v>
      </c>
      <c r="H69" s="23" t="s">
        <v>63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1139</v>
      </c>
    </row>
    <row r="70" ht="24" customHeight="1" spans="1:17" x14ac:dyDescent="0.25">
      <c r="A70" s="21" t="s">
        <v>1356</v>
      </c>
      <c r="B70" s="22" t="s">
        <v>22</v>
      </c>
      <c r="C70" s="22" t="s">
        <v>1341</v>
      </c>
      <c r="D70" s="22" t="s">
        <v>1357</v>
      </c>
      <c r="E70" s="22" t="s">
        <v>1358</v>
      </c>
      <c r="F70" s="22" t="s">
        <v>1143</v>
      </c>
      <c r="G70" s="22" t="s">
        <v>79</v>
      </c>
      <c r="H70" s="9" t="s">
        <v>101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1144</v>
      </c>
    </row>
    <row r="71" ht="24" customHeight="1" spans="1:17" x14ac:dyDescent="0.25">
      <c r="A71" s="21" t="s">
        <v>1359</v>
      </c>
      <c r="B71" s="22" t="s">
        <v>22</v>
      </c>
      <c r="C71" s="22" t="s">
        <v>1341</v>
      </c>
      <c r="D71" s="22" t="s">
        <v>1360</v>
      </c>
      <c r="E71" s="22" t="s">
        <v>1361</v>
      </c>
      <c r="F71" s="22" t="s">
        <v>1148</v>
      </c>
      <c r="G71" s="22" t="s">
        <v>79</v>
      </c>
      <c r="H71" s="23" t="s">
        <v>63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1149</v>
      </c>
    </row>
    <row r="72" ht="24" customHeight="1" spans="1:17" x14ac:dyDescent="0.25">
      <c r="A72" s="21" t="s">
        <v>1362</v>
      </c>
      <c r="B72" s="22" t="s">
        <v>22</v>
      </c>
      <c r="C72" s="22" t="s">
        <v>1341</v>
      </c>
      <c r="D72" s="22" t="s">
        <v>1363</v>
      </c>
      <c r="E72" s="22" t="s">
        <v>1364</v>
      </c>
      <c r="F72" s="22" t="s">
        <v>1153</v>
      </c>
      <c r="G72" s="22" t="s">
        <v>1154</v>
      </c>
      <c r="H72" s="26" t="s">
        <v>73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1155</v>
      </c>
    </row>
    <row r="73" ht="24" customHeight="1" spans="1:17" x14ac:dyDescent="0.25">
      <c r="A73" s="21" t="s">
        <v>1365</v>
      </c>
      <c r="B73" s="22" t="s">
        <v>22</v>
      </c>
      <c r="C73" s="22" t="s">
        <v>1341</v>
      </c>
      <c r="D73" s="22" t="s">
        <v>1366</v>
      </c>
      <c r="E73" s="22" t="s">
        <v>1367</v>
      </c>
      <c r="F73" s="22" t="s">
        <v>1159</v>
      </c>
      <c r="G73" s="22" t="s">
        <v>79</v>
      </c>
      <c r="H73" s="23" t="s">
        <v>63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1160</v>
      </c>
    </row>
    <row r="74" ht="24" customHeight="1" spans="1:17" x14ac:dyDescent="0.25">
      <c r="A74" s="21" t="s">
        <v>1368</v>
      </c>
      <c r="B74" s="22" t="s">
        <v>22</v>
      </c>
      <c r="C74" s="22" t="s">
        <v>1341</v>
      </c>
      <c r="D74" s="22" t="s">
        <v>1369</v>
      </c>
      <c r="E74" s="22" t="s">
        <v>1370</v>
      </c>
      <c r="F74" s="22" t="s">
        <v>1164</v>
      </c>
      <c r="G74" s="22" t="s">
        <v>1165</v>
      </c>
      <c r="H74" s="9" t="s">
        <v>101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1166</v>
      </c>
    </row>
    <row r="75" ht="24" customHeight="1" spans="1:17" x14ac:dyDescent="0.25">
      <c r="A75" s="21" t="s">
        <v>1371</v>
      </c>
      <c r="B75" s="22" t="s">
        <v>22</v>
      </c>
      <c r="C75" s="22" t="s">
        <v>1341</v>
      </c>
      <c r="D75" s="22" t="s">
        <v>1372</v>
      </c>
      <c r="E75" s="22" t="s">
        <v>1373</v>
      </c>
      <c r="F75" s="22" t="s">
        <v>1170</v>
      </c>
      <c r="G75" s="22" t="s">
        <v>165</v>
      </c>
      <c r="H75" s="23" t="s">
        <v>63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1171</v>
      </c>
    </row>
    <row r="76" ht="24" customHeight="1" spans="1:17" x14ac:dyDescent="0.25">
      <c r="A76" s="21" t="s">
        <v>1374</v>
      </c>
      <c r="B76" s="22" t="s">
        <v>22</v>
      </c>
      <c r="C76" s="22" t="s">
        <v>1341</v>
      </c>
      <c r="D76" s="22" t="s">
        <v>1375</v>
      </c>
      <c r="E76" s="22" t="s">
        <v>1376</v>
      </c>
      <c r="F76" s="22" t="s">
        <v>1175</v>
      </c>
      <c r="G76" s="22" t="s">
        <v>72</v>
      </c>
      <c r="H76" s="23" t="s">
        <v>63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1176</v>
      </c>
    </row>
    <row r="77" ht="24" customHeight="1" spans="1:17" x14ac:dyDescent="0.25">
      <c r="A77" s="21" t="s">
        <v>1377</v>
      </c>
      <c r="B77" s="22" t="s">
        <v>22</v>
      </c>
      <c r="C77" s="22" t="s">
        <v>1341</v>
      </c>
      <c r="D77" s="22" t="s">
        <v>1378</v>
      </c>
      <c r="E77" s="22" t="s">
        <v>1379</v>
      </c>
      <c r="F77" s="22" t="s">
        <v>1180</v>
      </c>
      <c r="G77" s="22" t="s">
        <v>79</v>
      </c>
      <c r="H77" s="9" t="s">
        <v>101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1181</v>
      </c>
    </row>
    <row r="78" ht="24" customHeight="1" spans="1:17" x14ac:dyDescent="0.25">
      <c r="A78" s="21" t="s">
        <v>1380</v>
      </c>
      <c r="B78" s="22" t="s">
        <v>22</v>
      </c>
      <c r="C78" s="22" t="s">
        <v>1341</v>
      </c>
      <c r="D78" s="22" t="s">
        <v>1381</v>
      </c>
      <c r="E78" s="22" t="s">
        <v>1382</v>
      </c>
      <c r="F78" s="22" t="s">
        <v>1185</v>
      </c>
      <c r="G78" s="22" t="s">
        <v>79</v>
      </c>
      <c r="H78" s="23" t="s">
        <v>63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1186</v>
      </c>
    </row>
    <row r="79" ht="24" customHeight="1" spans="1:17" x14ac:dyDescent="0.25">
      <c r="A79" s="21" t="s">
        <v>1383</v>
      </c>
      <c r="B79" s="22" t="s">
        <v>22</v>
      </c>
      <c r="C79" s="22" t="s">
        <v>1341</v>
      </c>
      <c r="D79" s="22" t="s">
        <v>1384</v>
      </c>
      <c r="E79" s="22" t="s">
        <v>1385</v>
      </c>
      <c r="F79" s="22" t="s">
        <v>1190</v>
      </c>
      <c r="G79" s="22" t="s">
        <v>79</v>
      </c>
      <c r="H79" s="23" t="s">
        <v>63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1191</v>
      </c>
    </row>
    <row r="80" ht="24" customHeight="1" spans="1:17" x14ac:dyDescent="0.25">
      <c r="A80" s="21" t="s">
        <v>1386</v>
      </c>
      <c r="B80" s="22" t="s">
        <v>22</v>
      </c>
      <c r="C80" s="22" t="s">
        <v>1341</v>
      </c>
      <c r="D80" s="22" t="s">
        <v>1387</v>
      </c>
      <c r="E80" s="22" t="s">
        <v>1388</v>
      </c>
      <c r="F80" s="22" t="s">
        <v>1195</v>
      </c>
      <c r="G80" s="22" t="s">
        <v>165</v>
      </c>
      <c r="H80" s="26" t="s">
        <v>73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1196</v>
      </c>
    </row>
    <row r="81" ht="24" customHeight="1" spans="1:17" x14ac:dyDescent="0.25">
      <c r="A81" s="21" t="s">
        <v>1389</v>
      </c>
      <c r="B81" s="22" t="s">
        <v>22</v>
      </c>
      <c r="C81" s="22" t="s">
        <v>1341</v>
      </c>
      <c r="D81" s="22" t="s">
        <v>1390</v>
      </c>
      <c r="E81" s="22" t="s">
        <v>1391</v>
      </c>
      <c r="F81" s="22" t="s">
        <v>1200</v>
      </c>
      <c r="G81" s="22" t="s">
        <v>1201</v>
      </c>
      <c r="H81" s="23" t="s">
        <v>63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1202</v>
      </c>
    </row>
    <row r="82" ht="24" customHeight="1" spans="1:17" x14ac:dyDescent="0.25">
      <c r="A82" s="21" t="s">
        <v>1392</v>
      </c>
      <c r="B82" s="22" t="s">
        <v>22</v>
      </c>
      <c r="C82" s="22" t="s">
        <v>1341</v>
      </c>
      <c r="D82" s="22" t="s">
        <v>1393</v>
      </c>
      <c r="E82" s="22" t="s">
        <v>1394</v>
      </c>
      <c r="F82" s="22" t="s">
        <v>1206</v>
      </c>
      <c r="G82" s="22" t="s">
        <v>1154</v>
      </c>
      <c r="H82" s="23" t="s">
        <v>63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1207</v>
      </c>
    </row>
    <row r="83" ht="24" customHeight="1" spans="1:17" x14ac:dyDescent="0.25">
      <c r="A83" s="21" t="s">
        <v>1395</v>
      </c>
      <c r="B83" s="22" t="s">
        <v>22</v>
      </c>
      <c r="C83" s="22" t="s">
        <v>1341</v>
      </c>
      <c r="D83" s="22" t="s">
        <v>1396</v>
      </c>
      <c r="E83" s="22" t="s">
        <v>1397</v>
      </c>
      <c r="F83" s="22" t="s">
        <v>1211</v>
      </c>
      <c r="G83" s="22" t="s">
        <v>79</v>
      </c>
      <c r="H83" s="9" t="s">
        <v>101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1212</v>
      </c>
    </row>
    <row r="84" ht="24" customHeight="1" spans="1:17" x14ac:dyDescent="0.25">
      <c r="A84" s="21" t="s">
        <v>1398</v>
      </c>
      <c r="B84" s="22" t="s">
        <v>22</v>
      </c>
      <c r="C84" s="22" t="s">
        <v>1341</v>
      </c>
      <c r="D84" s="22" t="s">
        <v>1399</v>
      </c>
      <c r="E84" s="22" t="s">
        <v>1400</v>
      </c>
      <c r="F84" s="22" t="s">
        <v>1216</v>
      </c>
      <c r="G84" s="22" t="s">
        <v>79</v>
      </c>
      <c r="H84" s="9" t="s">
        <v>101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1217</v>
      </c>
    </row>
    <row r="85" ht="24" customHeight="1" spans="1:17" x14ac:dyDescent="0.25">
      <c r="A85" s="21" t="s">
        <v>1401</v>
      </c>
      <c r="B85" s="22" t="s">
        <v>22</v>
      </c>
      <c r="C85" s="22" t="s">
        <v>1402</v>
      </c>
      <c r="D85" s="22" t="s">
        <v>1403</v>
      </c>
      <c r="E85" s="22" t="s">
        <v>1404</v>
      </c>
      <c r="F85" s="22" t="s">
        <v>1118</v>
      </c>
      <c r="G85" s="22" t="s">
        <v>79</v>
      </c>
      <c r="H85" s="26" t="s">
        <v>73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1119</v>
      </c>
    </row>
    <row r="86" ht="24" customHeight="1" spans="1:17" x14ac:dyDescent="0.25">
      <c r="A86" s="21" t="s">
        <v>1405</v>
      </c>
      <c r="B86" s="22" t="s">
        <v>22</v>
      </c>
      <c r="C86" s="22" t="s">
        <v>1402</v>
      </c>
      <c r="D86" s="22" t="s">
        <v>1406</v>
      </c>
      <c r="E86" s="22" t="s">
        <v>1407</v>
      </c>
      <c r="F86" s="22" t="s">
        <v>1123</v>
      </c>
      <c r="G86" s="22" t="s">
        <v>79</v>
      </c>
      <c r="H86" s="23" t="s">
        <v>63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1124</v>
      </c>
    </row>
    <row r="87" ht="24" customHeight="1" spans="1:17" x14ac:dyDescent="0.25">
      <c r="A87" s="21" t="s">
        <v>1408</v>
      </c>
      <c r="B87" s="22" t="s">
        <v>22</v>
      </c>
      <c r="C87" s="22" t="s">
        <v>1402</v>
      </c>
      <c r="D87" s="22" t="s">
        <v>1409</v>
      </c>
      <c r="E87" s="22" t="s">
        <v>1410</v>
      </c>
      <c r="F87" s="22" t="s">
        <v>1128</v>
      </c>
      <c r="G87" s="22" t="s">
        <v>79</v>
      </c>
      <c r="H87" s="9" t="s">
        <v>101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1129</v>
      </c>
    </row>
    <row r="88" ht="24" customHeight="1" spans="1:17" x14ac:dyDescent="0.25">
      <c r="A88" s="21" t="s">
        <v>1411</v>
      </c>
      <c r="B88" s="22" t="s">
        <v>22</v>
      </c>
      <c r="C88" s="22" t="s">
        <v>1402</v>
      </c>
      <c r="D88" s="22" t="s">
        <v>1412</v>
      </c>
      <c r="E88" s="22" t="s">
        <v>1413</v>
      </c>
      <c r="F88" s="22" t="s">
        <v>1133</v>
      </c>
      <c r="G88" s="22" t="s">
        <v>79</v>
      </c>
      <c r="H88" s="23" t="s">
        <v>63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1134</v>
      </c>
    </row>
    <row r="89" ht="24" customHeight="1" spans="1:17" x14ac:dyDescent="0.25">
      <c r="A89" s="21" t="s">
        <v>1414</v>
      </c>
      <c r="B89" s="22" t="s">
        <v>22</v>
      </c>
      <c r="C89" s="22" t="s">
        <v>1402</v>
      </c>
      <c r="D89" s="22" t="s">
        <v>1415</v>
      </c>
      <c r="E89" s="22" t="s">
        <v>1416</v>
      </c>
      <c r="F89" s="22" t="s">
        <v>1138</v>
      </c>
      <c r="G89" s="22" t="s">
        <v>79</v>
      </c>
      <c r="H89" s="23" t="s">
        <v>63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1139</v>
      </c>
    </row>
    <row r="90" ht="24" customHeight="1" spans="1:17" x14ac:dyDescent="0.25">
      <c r="A90" s="21" t="s">
        <v>1417</v>
      </c>
      <c r="B90" s="22" t="s">
        <v>22</v>
      </c>
      <c r="C90" s="22" t="s">
        <v>1402</v>
      </c>
      <c r="D90" s="22" t="s">
        <v>1418</v>
      </c>
      <c r="E90" s="22" t="s">
        <v>1419</v>
      </c>
      <c r="F90" s="22" t="s">
        <v>1143</v>
      </c>
      <c r="G90" s="22" t="s">
        <v>79</v>
      </c>
      <c r="H90" s="9" t="s">
        <v>101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1144</v>
      </c>
    </row>
    <row r="91" ht="24" customHeight="1" spans="1:17" x14ac:dyDescent="0.25">
      <c r="A91" s="21" t="s">
        <v>1420</v>
      </c>
      <c r="B91" s="22" t="s">
        <v>22</v>
      </c>
      <c r="C91" s="22" t="s">
        <v>1402</v>
      </c>
      <c r="D91" s="22" t="s">
        <v>1421</v>
      </c>
      <c r="E91" s="22" t="s">
        <v>1422</v>
      </c>
      <c r="F91" s="22" t="s">
        <v>1148</v>
      </c>
      <c r="G91" s="22" t="s">
        <v>79</v>
      </c>
      <c r="H91" s="23" t="s">
        <v>63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1149</v>
      </c>
    </row>
    <row r="92" ht="24" customHeight="1" spans="1:17" x14ac:dyDescent="0.25">
      <c r="A92" s="21" t="s">
        <v>1423</v>
      </c>
      <c r="B92" s="22" t="s">
        <v>22</v>
      </c>
      <c r="C92" s="22" t="s">
        <v>1402</v>
      </c>
      <c r="D92" s="22" t="s">
        <v>1424</v>
      </c>
      <c r="E92" s="22" t="s">
        <v>1425</v>
      </c>
      <c r="F92" s="22" t="s">
        <v>1153</v>
      </c>
      <c r="G92" s="22" t="s">
        <v>1154</v>
      </c>
      <c r="H92" s="26" t="s">
        <v>73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1155</v>
      </c>
    </row>
    <row r="93" ht="24" customHeight="1" spans="1:17" x14ac:dyDescent="0.25">
      <c r="A93" s="21" t="s">
        <v>1426</v>
      </c>
      <c r="B93" s="22" t="s">
        <v>22</v>
      </c>
      <c r="C93" s="22" t="s">
        <v>1402</v>
      </c>
      <c r="D93" s="22" t="s">
        <v>1427</v>
      </c>
      <c r="E93" s="22" t="s">
        <v>1428</v>
      </c>
      <c r="F93" s="22" t="s">
        <v>1159</v>
      </c>
      <c r="G93" s="22" t="s">
        <v>79</v>
      </c>
      <c r="H93" s="23" t="s">
        <v>63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1160</v>
      </c>
    </row>
    <row r="94" ht="24" customHeight="1" spans="1:17" x14ac:dyDescent="0.25">
      <c r="A94" s="21" t="s">
        <v>1429</v>
      </c>
      <c r="B94" s="22" t="s">
        <v>22</v>
      </c>
      <c r="C94" s="22" t="s">
        <v>1402</v>
      </c>
      <c r="D94" s="22" t="s">
        <v>1430</v>
      </c>
      <c r="E94" s="22" t="s">
        <v>1431</v>
      </c>
      <c r="F94" s="22" t="s">
        <v>1164</v>
      </c>
      <c r="G94" s="22" t="s">
        <v>1165</v>
      </c>
      <c r="H94" s="9" t="s">
        <v>101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1166</v>
      </c>
    </row>
    <row r="95" ht="24" customHeight="1" spans="1:17" x14ac:dyDescent="0.25">
      <c r="A95" s="21" t="s">
        <v>1432</v>
      </c>
      <c r="B95" s="22" t="s">
        <v>22</v>
      </c>
      <c r="C95" s="22" t="s">
        <v>1402</v>
      </c>
      <c r="D95" s="22" t="s">
        <v>1433</v>
      </c>
      <c r="E95" s="22" t="s">
        <v>1434</v>
      </c>
      <c r="F95" s="22" t="s">
        <v>1170</v>
      </c>
      <c r="G95" s="22" t="s">
        <v>165</v>
      </c>
      <c r="H95" s="23" t="s">
        <v>63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1171</v>
      </c>
    </row>
    <row r="96" ht="24" customHeight="1" spans="1:17" x14ac:dyDescent="0.25">
      <c r="A96" s="21" t="s">
        <v>1435</v>
      </c>
      <c r="B96" s="22" t="s">
        <v>22</v>
      </c>
      <c r="C96" s="22" t="s">
        <v>1402</v>
      </c>
      <c r="D96" s="22" t="s">
        <v>1436</v>
      </c>
      <c r="E96" s="22" t="s">
        <v>1437</v>
      </c>
      <c r="F96" s="22" t="s">
        <v>1175</v>
      </c>
      <c r="G96" s="22" t="s">
        <v>72</v>
      </c>
      <c r="H96" s="23" t="s">
        <v>63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1176</v>
      </c>
    </row>
    <row r="97" ht="24" customHeight="1" spans="1:17" x14ac:dyDescent="0.25">
      <c r="A97" s="21" t="s">
        <v>1438</v>
      </c>
      <c r="B97" s="22" t="s">
        <v>22</v>
      </c>
      <c r="C97" s="22" t="s">
        <v>1402</v>
      </c>
      <c r="D97" s="22" t="s">
        <v>1439</v>
      </c>
      <c r="E97" s="22" t="s">
        <v>1440</v>
      </c>
      <c r="F97" s="22" t="s">
        <v>1180</v>
      </c>
      <c r="G97" s="22" t="s">
        <v>79</v>
      </c>
      <c r="H97" s="9" t="s">
        <v>101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1181</v>
      </c>
    </row>
    <row r="98" ht="24" customHeight="1" spans="1:17" x14ac:dyDescent="0.25">
      <c r="A98" s="21" t="s">
        <v>1441</v>
      </c>
      <c r="B98" s="22" t="s">
        <v>22</v>
      </c>
      <c r="C98" s="22" t="s">
        <v>1402</v>
      </c>
      <c r="D98" s="22" t="s">
        <v>1442</v>
      </c>
      <c r="E98" s="22" t="s">
        <v>1443</v>
      </c>
      <c r="F98" s="22" t="s">
        <v>1185</v>
      </c>
      <c r="G98" s="22" t="s">
        <v>79</v>
      </c>
      <c r="H98" s="23" t="s">
        <v>63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1186</v>
      </c>
    </row>
    <row r="99" ht="24" customHeight="1" spans="1:17" x14ac:dyDescent="0.25">
      <c r="A99" s="21" t="s">
        <v>1444</v>
      </c>
      <c r="B99" s="22" t="s">
        <v>22</v>
      </c>
      <c r="C99" s="22" t="s">
        <v>1402</v>
      </c>
      <c r="D99" s="22" t="s">
        <v>1445</v>
      </c>
      <c r="E99" s="22" t="s">
        <v>1446</v>
      </c>
      <c r="F99" s="22" t="s">
        <v>1190</v>
      </c>
      <c r="G99" s="22" t="s">
        <v>79</v>
      </c>
      <c r="H99" s="23" t="s">
        <v>63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1191</v>
      </c>
    </row>
    <row r="100" ht="24" customHeight="1" spans="1:17" x14ac:dyDescent="0.25">
      <c r="A100" s="21" t="s">
        <v>1447</v>
      </c>
      <c r="B100" s="22" t="s">
        <v>22</v>
      </c>
      <c r="C100" s="22" t="s">
        <v>1402</v>
      </c>
      <c r="D100" s="22" t="s">
        <v>1448</v>
      </c>
      <c r="E100" s="22" t="s">
        <v>1449</v>
      </c>
      <c r="F100" s="22" t="s">
        <v>1195</v>
      </c>
      <c r="G100" s="22" t="s">
        <v>165</v>
      </c>
      <c r="H100" s="26" t="s">
        <v>73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1196</v>
      </c>
    </row>
    <row r="101" ht="24" customHeight="1" spans="1:17" x14ac:dyDescent="0.25">
      <c r="A101" s="21" t="s">
        <v>1450</v>
      </c>
      <c r="B101" s="22" t="s">
        <v>22</v>
      </c>
      <c r="C101" s="22" t="s">
        <v>1402</v>
      </c>
      <c r="D101" s="22" t="s">
        <v>1451</v>
      </c>
      <c r="E101" s="22" t="s">
        <v>1452</v>
      </c>
      <c r="F101" s="22" t="s">
        <v>1200</v>
      </c>
      <c r="G101" s="22" t="s">
        <v>1201</v>
      </c>
      <c r="H101" s="23" t="s">
        <v>63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1202</v>
      </c>
    </row>
    <row r="102" ht="24" customHeight="1" spans="1:17" x14ac:dyDescent="0.25">
      <c r="A102" s="21" t="s">
        <v>1453</v>
      </c>
      <c r="B102" s="22" t="s">
        <v>22</v>
      </c>
      <c r="C102" s="22" t="s">
        <v>1402</v>
      </c>
      <c r="D102" s="22" t="s">
        <v>1454</v>
      </c>
      <c r="E102" s="22" t="s">
        <v>1455</v>
      </c>
      <c r="F102" s="22" t="s">
        <v>1206</v>
      </c>
      <c r="G102" s="22" t="s">
        <v>1154</v>
      </c>
      <c r="H102" s="23" t="s">
        <v>63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1207</v>
      </c>
    </row>
    <row r="103" ht="24" customHeight="1" spans="1:17" x14ac:dyDescent="0.25">
      <c r="A103" s="21" t="s">
        <v>1456</v>
      </c>
      <c r="B103" s="22" t="s">
        <v>22</v>
      </c>
      <c r="C103" s="22" t="s">
        <v>1402</v>
      </c>
      <c r="D103" s="22" t="s">
        <v>1457</v>
      </c>
      <c r="E103" s="22" t="s">
        <v>1458</v>
      </c>
      <c r="F103" s="22" t="s">
        <v>1211</v>
      </c>
      <c r="G103" s="22" t="s">
        <v>79</v>
      </c>
      <c r="H103" s="9" t="s">
        <v>101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1212</v>
      </c>
    </row>
    <row r="104" ht="24" customHeight="1" spans="1:17" x14ac:dyDescent="0.25">
      <c r="A104" s="21" t="s">
        <v>1459</v>
      </c>
      <c r="B104" s="22" t="s">
        <v>22</v>
      </c>
      <c r="C104" s="22" t="s">
        <v>1402</v>
      </c>
      <c r="D104" s="22" t="s">
        <v>1460</v>
      </c>
      <c r="E104" s="22" t="s">
        <v>1461</v>
      </c>
      <c r="F104" s="22" t="s">
        <v>1216</v>
      </c>
      <c r="G104" s="22" t="s">
        <v>79</v>
      </c>
      <c r="H104" s="9" t="s">
        <v>101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1217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31" t="s">
        <v>1462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ht="24" customHeight="1" spans="1:17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1463</v>
      </c>
      <c r="B5" s="22" t="s">
        <v>24</v>
      </c>
      <c r="C5" s="22" t="s">
        <v>1464</v>
      </c>
      <c r="D5" s="22" t="s">
        <v>1465</v>
      </c>
      <c r="E5" s="22" t="s">
        <v>1466</v>
      </c>
      <c r="F5" s="22" t="s">
        <v>1467</v>
      </c>
      <c r="G5" s="22" t="s">
        <v>79</v>
      </c>
      <c r="H5" s="26" t="s">
        <v>73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1468</v>
      </c>
    </row>
    <row r="6" ht="24" customHeight="1" spans="1:17" x14ac:dyDescent="0.25">
      <c r="A6" s="21" t="s">
        <v>1469</v>
      </c>
      <c r="B6" s="22" t="s">
        <v>24</v>
      </c>
      <c r="C6" s="22" t="s">
        <v>1464</v>
      </c>
      <c r="D6" s="22" t="s">
        <v>1470</v>
      </c>
      <c r="E6" s="22" t="s">
        <v>1471</v>
      </c>
      <c r="F6" s="22" t="s">
        <v>1472</v>
      </c>
      <c r="G6" s="22" t="s">
        <v>79</v>
      </c>
      <c r="H6" s="26" t="s">
        <v>73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1473</v>
      </c>
    </row>
    <row r="7" ht="24" customHeight="1" spans="1:17" x14ac:dyDescent="0.25">
      <c r="A7" s="21" t="s">
        <v>1474</v>
      </c>
      <c r="B7" s="22" t="s">
        <v>24</v>
      </c>
      <c r="C7" s="22" t="s">
        <v>1464</v>
      </c>
      <c r="D7" s="22" t="s">
        <v>1475</v>
      </c>
      <c r="E7" s="22" t="s">
        <v>1476</v>
      </c>
      <c r="F7" s="22" t="s">
        <v>1477</v>
      </c>
      <c r="G7" s="22" t="s">
        <v>79</v>
      </c>
      <c r="H7" s="23" t="s">
        <v>63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1478</v>
      </c>
    </row>
    <row r="8" ht="24" customHeight="1" spans="1:17" x14ac:dyDescent="0.25">
      <c r="A8" s="21" t="s">
        <v>1479</v>
      </c>
      <c r="B8" s="22" t="s">
        <v>24</v>
      </c>
      <c r="C8" s="22" t="s">
        <v>1464</v>
      </c>
      <c r="D8" s="22" t="s">
        <v>1480</v>
      </c>
      <c r="E8" s="22" t="s">
        <v>1481</v>
      </c>
      <c r="F8" s="22" t="s">
        <v>1482</v>
      </c>
      <c r="G8" s="22" t="s">
        <v>79</v>
      </c>
      <c r="H8" s="23" t="s">
        <v>63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1483</v>
      </c>
    </row>
    <row r="9" ht="24" customHeight="1" spans="1:17" x14ac:dyDescent="0.25">
      <c r="A9" s="21" t="s">
        <v>1484</v>
      </c>
      <c r="B9" s="22" t="s">
        <v>24</v>
      </c>
      <c r="C9" s="22" t="s">
        <v>1464</v>
      </c>
      <c r="D9" s="22" t="s">
        <v>1485</v>
      </c>
      <c r="E9" s="22" t="s">
        <v>1486</v>
      </c>
      <c r="F9" s="22" t="s">
        <v>1487</v>
      </c>
      <c r="G9" s="22" t="s">
        <v>79</v>
      </c>
      <c r="H9" s="9" t="s">
        <v>101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1488</v>
      </c>
    </row>
    <row r="10" ht="24" customHeight="1" spans="1:17" x14ac:dyDescent="0.25">
      <c r="A10" s="21" t="s">
        <v>1489</v>
      </c>
      <c r="B10" s="22" t="s">
        <v>24</v>
      </c>
      <c r="C10" s="22" t="s">
        <v>1464</v>
      </c>
      <c r="D10" s="22" t="s">
        <v>1490</v>
      </c>
      <c r="E10" s="22" t="s">
        <v>1491</v>
      </c>
      <c r="F10" s="22" t="s">
        <v>1492</v>
      </c>
      <c r="G10" s="22" t="s">
        <v>79</v>
      </c>
      <c r="H10" s="23" t="s">
        <v>63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1493</v>
      </c>
    </row>
    <row r="11" ht="24" customHeight="1" spans="1:17" x14ac:dyDescent="0.25">
      <c r="A11" s="21" t="s">
        <v>1494</v>
      </c>
      <c r="B11" s="22" t="s">
        <v>24</v>
      </c>
      <c r="C11" s="22" t="s">
        <v>1464</v>
      </c>
      <c r="D11" s="22" t="s">
        <v>1495</v>
      </c>
      <c r="E11" s="22" t="s">
        <v>1496</v>
      </c>
      <c r="F11" s="22" t="s">
        <v>1497</v>
      </c>
      <c r="G11" s="22" t="s">
        <v>79</v>
      </c>
      <c r="H11" s="26" t="s">
        <v>73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1498</v>
      </c>
    </row>
    <row r="12" ht="24" customHeight="1" spans="1:17" x14ac:dyDescent="0.25">
      <c r="A12" s="21" t="s">
        <v>1499</v>
      </c>
      <c r="B12" s="22" t="s">
        <v>24</v>
      </c>
      <c r="C12" s="22" t="s">
        <v>1464</v>
      </c>
      <c r="D12" s="22" t="s">
        <v>1500</v>
      </c>
      <c r="E12" s="22" t="s">
        <v>1501</v>
      </c>
      <c r="F12" s="22" t="s">
        <v>1502</v>
      </c>
      <c r="G12" s="22" t="s">
        <v>79</v>
      </c>
      <c r="H12" s="26" t="s">
        <v>73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1503</v>
      </c>
    </row>
    <row r="13" ht="24" customHeight="1" spans="1:17" x14ac:dyDescent="0.25">
      <c r="A13" s="21" t="s">
        <v>1504</v>
      </c>
      <c r="B13" s="22" t="s">
        <v>24</v>
      </c>
      <c r="C13" s="22" t="s">
        <v>1464</v>
      </c>
      <c r="D13" s="22" t="s">
        <v>1505</v>
      </c>
      <c r="E13" s="22" t="s">
        <v>1506</v>
      </c>
      <c r="F13" s="22" t="s">
        <v>1507</v>
      </c>
      <c r="G13" s="22" t="s">
        <v>1154</v>
      </c>
      <c r="H13" s="26" t="s">
        <v>73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1508</v>
      </c>
    </row>
    <row r="14" ht="24" customHeight="1" spans="1:17" x14ac:dyDescent="0.25">
      <c r="A14" s="21" t="s">
        <v>1509</v>
      </c>
      <c r="B14" s="22" t="s">
        <v>24</v>
      </c>
      <c r="C14" s="22" t="s">
        <v>1464</v>
      </c>
      <c r="D14" s="22" t="s">
        <v>1510</v>
      </c>
      <c r="E14" s="22" t="s">
        <v>1511</v>
      </c>
      <c r="F14" s="22" t="s">
        <v>1512</v>
      </c>
      <c r="G14" s="22" t="s">
        <v>1513</v>
      </c>
      <c r="H14" s="23" t="s">
        <v>63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1514</v>
      </c>
    </row>
    <row r="15" ht="24" customHeight="1" spans="1:17" x14ac:dyDescent="0.25">
      <c r="A15" s="21" t="s">
        <v>1515</v>
      </c>
      <c r="B15" s="22" t="s">
        <v>24</v>
      </c>
      <c r="C15" s="22" t="s">
        <v>1464</v>
      </c>
      <c r="D15" s="22" t="s">
        <v>1516</v>
      </c>
      <c r="E15" s="22" t="s">
        <v>1517</v>
      </c>
      <c r="F15" s="22" t="s">
        <v>1518</v>
      </c>
      <c r="G15" s="22" t="s">
        <v>1519</v>
      </c>
      <c r="H15" s="23" t="s">
        <v>63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1520</v>
      </c>
    </row>
    <row r="16" ht="24" customHeight="1" spans="1:17" x14ac:dyDescent="0.25">
      <c r="A16" s="21" t="s">
        <v>1521</v>
      </c>
      <c r="B16" s="22" t="s">
        <v>24</v>
      </c>
      <c r="C16" s="22" t="s">
        <v>1464</v>
      </c>
      <c r="D16" s="22" t="s">
        <v>1522</v>
      </c>
      <c r="E16" s="22" t="s">
        <v>1523</v>
      </c>
      <c r="F16" s="22" t="s">
        <v>1524</v>
      </c>
      <c r="G16" s="22" t="s">
        <v>1525</v>
      </c>
      <c r="H16" s="23" t="s">
        <v>63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1526</v>
      </c>
    </row>
    <row r="17" ht="24" customHeight="1" spans="1:17" x14ac:dyDescent="0.25">
      <c r="A17" s="21" t="s">
        <v>1527</v>
      </c>
      <c r="B17" s="22" t="s">
        <v>24</v>
      </c>
      <c r="C17" s="22" t="s">
        <v>1464</v>
      </c>
      <c r="D17" s="22" t="s">
        <v>1528</v>
      </c>
      <c r="E17" s="22" t="s">
        <v>1529</v>
      </c>
      <c r="F17" s="22" t="s">
        <v>1530</v>
      </c>
      <c r="G17" s="22" t="s">
        <v>72</v>
      </c>
      <c r="H17" s="9" t="s">
        <v>101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1531</v>
      </c>
    </row>
    <row r="18" ht="24" customHeight="1" spans="1:17" x14ac:dyDescent="0.25">
      <c r="A18" s="21" t="s">
        <v>1532</v>
      </c>
      <c r="B18" s="22" t="s">
        <v>24</v>
      </c>
      <c r="C18" s="22" t="s">
        <v>1464</v>
      </c>
      <c r="D18" s="22" t="s">
        <v>1533</v>
      </c>
      <c r="E18" s="22" t="s">
        <v>1534</v>
      </c>
      <c r="F18" s="22" t="s">
        <v>1535</v>
      </c>
      <c r="G18" s="22" t="s">
        <v>72</v>
      </c>
      <c r="H18" s="23" t="s">
        <v>63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1536</v>
      </c>
    </row>
    <row r="19" ht="24" customHeight="1" spans="1:17" x14ac:dyDescent="0.25">
      <c r="A19" s="21" t="s">
        <v>1537</v>
      </c>
      <c r="B19" s="22" t="s">
        <v>24</v>
      </c>
      <c r="C19" s="22" t="s">
        <v>1464</v>
      </c>
      <c r="D19" s="22" t="s">
        <v>1538</v>
      </c>
      <c r="E19" s="22" t="s">
        <v>1539</v>
      </c>
      <c r="F19" s="22" t="s">
        <v>1540</v>
      </c>
      <c r="G19" s="22" t="s">
        <v>72</v>
      </c>
      <c r="H19" s="23" t="s">
        <v>63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1541</v>
      </c>
    </row>
    <row r="20" ht="24" customHeight="1" spans="1:17" x14ac:dyDescent="0.25">
      <c r="A20" s="21" t="s">
        <v>1542</v>
      </c>
      <c r="B20" s="22" t="s">
        <v>24</v>
      </c>
      <c r="C20" s="22" t="s">
        <v>1464</v>
      </c>
      <c r="D20" s="22" t="s">
        <v>1543</v>
      </c>
      <c r="E20" s="22" t="s">
        <v>1544</v>
      </c>
      <c r="F20" s="22" t="s">
        <v>1545</v>
      </c>
      <c r="G20" s="22" t="s">
        <v>1546</v>
      </c>
      <c r="H20" s="23" t="s">
        <v>63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1547</v>
      </c>
    </row>
    <row r="21" ht="24" customHeight="1" spans="1:17" x14ac:dyDescent="0.25">
      <c r="A21" s="21" t="s">
        <v>1548</v>
      </c>
      <c r="B21" s="22" t="s">
        <v>24</v>
      </c>
      <c r="C21" s="22" t="s">
        <v>1464</v>
      </c>
      <c r="D21" s="22" t="s">
        <v>1549</v>
      </c>
      <c r="E21" s="22" t="s">
        <v>1550</v>
      </c>
      <c r="F21" s="22" t="s">
        <v>1551</v>
      </c>
      <c r="G21" s="22" t="s">
        <v>165</v>
      </c>
      <c r="H21" s="26" t="s">
        <v>73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1552</v>
      </c>
    </row>
    <row r="22" ht="24" customHeight="1" spans="1:17" x14ac:dyDescent="0.25">
      <c r="A22" s="21" t="s">
        <v>1553</v>
      </c>
      <c r="B22" s="22" t="s">
        <v>24</v>
      </c>
      <c r="C22" s="22" t="s">
        <v>1464</v>
      </c>
      <c r="D22" s="22" t="s">
        <v>1554</v>
      </c>
      <c r="E22" s="22" t="s">
        <v>1555</v>
      </c>
      <c r="F22" s="22" t="s">
        <v>1556</v>
      </c>
      <c r="G22" s="22" t="s">
        <v>1557</v>
      </c>
      <c r="H22" s="23" t="s">
        <v>63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1558</v>
      </c>
    </row>
    <row r="23" ht="24" customHeight="1" spans="1:17" x14ac:dyDescent="0.25">
      <c r="A23" s="21" t="s">
        <v>1559</v>
      </c>
      <c r="B23" s="22" t="s">
        <v>24</v>
      </c>
      <c r="C23" s="22" t="s">
        <v>1464</v>
      </c>
      <c r="D23" s="22" t="s">
        <v>1560</v>
      </c>
      <c r="E23" s="22" t="s">
        <v>1561</v>
      </c>
      <c r="F23" s="22" t="s">
        <v>1562</v>
      </c>
      <c r="G23" s="22" t="s">
        <v>165</v>
      </c>
      <c r="H23" s="23" t="s">
        <v>63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1563</v>
      </c>
    </row>
    <row r="24" ht="24" customHeight="1" spans="1:17" x14ac:dyDescent="0.25">
      <c r="A24" s="21" t="s">
        <v>1564</v>
      </c>
      <c r="B24" s="22" t="s">
        <v>24</v>
      </c>
      <c r="C24" s="22" t="s">
        <v>1464</v>
      </c>
      <c r="D24" s="22" t="s">
        <v>1565</v>
      </c>
      <c r="E24" s="22" t="s">
        <v>1566</v>
      </c>
      <c r="F24" s="22" t="s">
        <v>1567</v>
      </c>
      <c r="G24" s="22" t="s">
        <v>448</v>
      </c>
      <c r="H24" s="9" t="s">
        <v>101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1568</v>
      </c>
    </row>
    <row r="25" ht="24" customHeight="1" spans="1:17" x14ac:dyDescent="0.25">
      <c r="A25" s="21" t="s">
        <v>1569</v>
      </c>
      <c r="B25" s="22" t="s">
        <v>24</v>
      </c>
      <c r="C25" s="22" t="s">
        <v>1570</v>
      </c>
      <c r="D25" s="22" t="s">
        <v>1571</v>
      </c>
      <c r="E25" s="22" t="s">
        <v>1572</v>
      </c>
      <c r="F25" s="22" t="s">
        <v>1467</v>
      </c>
      <c r="G25" s="22" t="s">
        <v>79</v>
      </c>
      <c r="H25" s="26" t="s">
        <v>73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1468</v>
      </c>
    </row>
    <row r="26" ht="24" customHeight="1" spans="1:17" x14ac:dyDescent="0.25">
      <c r="A26" s="21" t="s">
        <v>1573</v>
      </c>
      <c r="B26" s="22" t="s">
        <v>24</v>
      </c>
      <c r="C26" s="22" t="s">
        <v>1570</v>
      </c>
      <c r="D26" s="22" t="s">
        <v>1574</v>
      </c>
      <c r="E26" s="22" t="s">
        <v>1575</v>
      </c>
      <c r="F26" s="22" t="s">
        <v>1472</v>
      </c>
      <c r="G26" s="22" t="s">
        <v>79</v>
      </c>
      <c r="H26" s="26" t="s">
        <v>73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1473</v>
      </c>
    </row>
    <row r="27" ht="24" customHeight="1" spans="1:17" x14ac:dyDescent="0.25">
      <c r="A27" s="21" t="s">
        <v>1576</v>
      </c>
      <c r="B27" s="22" t="s">
        <v>24</v>
      </c>
      <c r="C27" s="22" t="s">
        <v>1570</v>
      </c>
      <c r="D27" s="22" t="s">
        <v>1577</v>
      </c>
      <c r="E27" s="22" t="s">
        <v>1578</v>
      </c>
      <c r="F27" s="22" t="s">
        <v>1477</v>
      </c>
      <c r="G27" s="22" t="s">
        <v>79</v>
      </c>
      <c r="H27" s="23" t="s">
        <v>63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1478</v>
      </c>
    </row>
    <row r="28" ht="24" customHeight="1" spans="1:17" x14ac:dyDescent="0.25">
      <c r="A28" s="21" t="s">
        <v>1579</v>
      </c>
      <c r="B28" s="22" t="s">
        <v>24</v>
      </c>
      <c r="C28" s="22" t="s">
        <v>1570</v>
      </c>
      <c r="D28" s="22" t="s">
        <v>1580</v>
      </c>
      <c r="E28" s="22" t="s">
        <v>1581</v>
      </c>
      <c r="F28" s="22" t="s">
        <v>1482</v>
      </c>
      <c r="G28" s="22" t="s">
        <v>79</v>
      </c>
      <c r="H28" s="23" t="s">
        <v>63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1483</v>
      </c>
    </row>
    <row r="29" ht="24" customHeight="1" spans="1:17" x14ac:dyDescent="0.25">
      <c r="A29" s="21" t="s">
        <v>1582</v>
      </c>
      <c r="B29" s="22" t="s">
        <v>24</v>
      </c>
      <c r="C29" s="22" t="s">
        <v>1570</v>
      </c>
      <c r="D29" s="22" t="s">
        <v>1583</v>
      </c>
      <c r="E29" s="22" t="s">
        <v>1584</v>
      </c>
      <c r="F29" s="22" t="s">
        <v>1487</v>
      </c>
      <c r="G29" s="22" t="s">
        <v>79</v>
      </c>
      <c r="H29" s="9" t="s">
        <v>101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1488</v>
      </c>
    </row>
    <row r="30" ht="24" customHeight="1" spans="1:17" x14ac:dyDescent="0.25">
      <c r="A30" s="21" t="s">
        <v>1585</v>
      </c>
      <c r="B30" s="22" t="s">
        <v>24</v>
      </c>
      <c r="C30" s="22" t="s">
        <v>1570</v>
      </c>
      <c r="D30" s="22" t="s">
        <v>1586</v>
      </c>
      <c r="E30" s="22" t="s">
        <v>1587</v>
      </c>
      <c r="F30" s="22" t="s">
        <v>1492</v>
      </c>
      <c r="G30" s="22" t="s">
        <v>79</v>
      </c>
      <c r="H30" s="23" t="s">
        <v>63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1493</v>
      </c>
    </row>
    <row r="31" ht="24" customHeight="1" spans="1:17" x14ac:dyDescent="0.25">
      <c r="A31" s="21" t="s">
        <v>1588</v>
      </c>
      <c r="B31" s="22" t="s">
        <v>24</v>
      </c>
      <c r="C31" s="22" t="s">
        <v>1570</v>
      </c>
      <c r="D31" s="22" t="s">
        <v>1589</v>
      </c>
      <c r="E31" s="22" t="s">
        <v>1590</v>
      </c>
      <c r="F31" s="22" t="s">
        <v>1497</v>
      </c>
      <c r="G31" s="22" t="s">
        <v>79</v>
      </c>
      <c r="H31" s="26" t="s">
        <v>73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1498</v>
      </c>
    </row>
    <row r="32" ht="24" customHeight="1" spans="1:17" x14ac:dyDescent="0.25">
      <c r="A32" s="21" t="s">
        <v>1591</v>
      </c>
      <c r="B32" s="22" t="s">
        <v>24</v>
      </c>
      <c r="C32" s="22" t="s">
        <v>1570</v>
      </c>
      <c r="D32" s="22" t="s">
        <v>1592</v>
      </c>
      <c r="E32" s="22" t="s">
        <v>1593</v>
      </c>
      <c r="F32" s="22" t="s">
        <v>1502</v>
      </c>
      <c r="G32" s="22" t="s">
        <v>79</v>
      </c>
      <c r="H32" s="26" t="s">
        <v>73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1503</v>
      </c>
    </row>
    <row r="33" ht="24" customHeight="1" spans="1:17" x14ac:dyDescent="0.25">
      <c r="A33" s="21" t="s">
        <v>1594</v>
      </c>
      <c r="B33" s="22" t="s">
        <v>24</v>
      </c>
      <c r="C33" s="22" t="s">
        <v>1570</v>
      </c>
      <c r="D33" s="22" t="s">
        <v>1595</v>
      </c>
      <c r="E33" s="22" t="s">
        <v>1596</v>
      </c>
      <c r="F33" s="22" t="s">
        <v>1507</v>
      </c>
      <c r="G33" s="22" t="s">
        <v>1154</v>
      </c>
      <c r="H33" s="26" t="s">
        <v>73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1508</v>
      </c>
    </row>
    <row r="34" ht="24" customHeight="1" spans="1:17" x14ac:dyDescent="0.25">
      <c r="A34" s="21" t="s">
        <v>1597</v>
      </c>
      <c r="B34" s="22" t="s">
        <v>24</v>
      </c>
      <c r="C34" s="22" t="s">
        <v>1570</v>
      </c>
      <c r="D34" s="22" t="s">
        <v>1598</v>
      </c>
      <c r="E34" s="22" t="s">
        <v>1599</v>
      </c>
      <c r="F34" s="22" t="s">
        <v>1512</v>
      </c>
      <c r="G34" s="22" t="s">
        <v>1513</v>
      </c>
      <c r="H34" s="23" t="s">
        <v>63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1514</v>
      </c>
    </row>
    <row r="35" ht="24" customHeight="1" spans="1:17" x14ac:dyDescent="0.25">
      <c r="A35" s="21" t="s">
        <v>1600</v>
      </c>
      <c r="B35" s="22" t="s">
        <v>24</v>
      </c>
      <c r="C35" s="22" t="s">
        <v>1570</v>
      </c>
      <c r="D35" s="22" t="s">
        <v>1601</v>
      </c>
      <c r="E35" s="22" t="s">
        <v>1602</v>
      </c>
      <c r="F35" s="22" t="s">
        <v>1518</v>
      </c>
      <c r="G35" s="22" t="s">
        <v>1519</v>
      </c>
      <c r="H35" s="23" t="s">
        <v>63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1520</v>
      </c>
    </row>
    <row r="36" ht="24" customHeight="1" spans="1:17" x14ac:dyDescent="0.25">
      <c r="A36" s="21" t="s">
        <v>1603</v>
      </c>
      <c r="B36" s="22" t="s">
        <v>24</v>
      </c>
      <c r="C36" s="22" t="s">
        <v>1570</v>
      </c>
      <c r="D36" s="22" t="s">
        <v>1604</v>
      </c>
      <c r="E36" s="22" t="s">
        <v>1605</v>
      </c>
      <c r="F36" s="22" t="s">
        <v>1524</v>
      </c>
      <c r="G36" s="22" t="s">
        <v>1525</v>
      </c>
      <c r="H36" s="23" t="s">
        <v>63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1526</v>
      </c>
    </row>
    <row r="37" ht="24" customHeight="1" spans="1:17" x14ac:dyDescent="0.25">
      <c r="A37" s="21" t="s">
        <v>1606</v>
      </c>
      <c r="B37" s="22" t="s">
        <v>24</v>
      </c>
      <c r="C37" s="22" t="s">
        <v>1570</v>
      </c>
      <c r="D37" s="22" t="s">
        <v>1607</v>
      </c>
      <c r="E37" s="22" t="s">
        <v>1608</v>
      </c>
      <c r="F37" s="22" t="s">
        <v>1530</v>
      </c>
      <c r="G37" s="22" t="s">
        <v>72</v>
      </c>
      <c r="H37" s="9" t="s">
        <v>101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1531</v>
      </c>
    </row>
    <row r="38" ht="24" customHeight="1" spans="1:17" x14ac:dyDescent="0.25">
      <c r="A38" s="21" t="s">
        <v>1609</v>
      </c>
      <c r="B38" s="22" t="s">
        <v>24</v>
      </c>
      <c r="C38" s="22" t="s">
        <v>1570</v>
      </c>
      <c r="D38" s="22" t="s">
        <v>1610</v>
      </c>
      <c r="E38" s="22" t="s">
        <v>1611</v>
      </c>
      <c r="F38" s="22" t="s">
        <v>1535</v>
      </c>
      <c r="G38" s="22" t="s">
        <v>72</v>
      </c>
      <c r="H38" s="23" t="s">
        <v>63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1536</v>
      </c>
    </row>
    <row r="39" ht="24" customHeight="1" spans="1:17" x14ac:dyDescent="0.25">
      <c r="A39" s="21" t="s">
        <v>1612</v>
      </c>
      <c r="B39" s="22" t="s">
        <v>24</v>
      </c>
      <c r="C39" s="22" t="s">
        <v>1570</v>
      </c>
      <c r="D39" s="22" t="s">
        <v>1613</v>
      </c>
      <c r="E39" s="22" t="s">
        <v>1614</v>
      </c>
      <c r="F39" s="22" t="s">
        <v>1540</v>
      </c>
      <c r="G39" s="22" t="s">
        <v>72</v>
      </c>
      <c r="H39" s="23" t="s">
        <v>63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1541</v>
      </c>
    </row>
    <row r="40" ht="24" customHeight="1" spans="1:17" x14ac:dyDescent="0.25">
      <c r="A40" s="21" t="s">
        <v>1615</v>
      </c>
      <c r="B40" s="22" t="s">
        <v>24</v>
      </c>
      <c r="C40" s="22" t="s">
        <v>1570</v>
      </c>
      <c r="D40" s="22" t="s">
        <v>1616</v>
      </c>
      <c r="E40" s="22" t="s">
        <v>1617</v>
      </c>
      <c r="F40" s="22" t="s">
        <v>1545</v>
      </c>
      <c r="G40" s="22" t="s">
        <v>1546</v>
      </c>
      <c r="H40" s="23" t="s">
        <v>63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1547</v>
      </c>
    </row>
    <row r="41" ht="24" customHeight="1" spans="1:17" x14ac:dyDescent="0.25">
      <c r="A41" s="21" t="s">
        <v>1618</v>
      </c>
      <c r="B41" s="22" t="s">
        <v>24</v>
      </c>
      <c r="C41" s="22" t="s">
        <v>1570</v>
      </c>
      <c r="D41" s="22" t="s">
        <v>1619</v>
      </c>
      <c r="E41" s="22" t="s">
        <v>1620</v>
      </c>
      <c r="F41" s="22" t="s">
        <v>1551</v>
      </c>
      <c r="G41" s="22" t="s">
        <v>165</v>
      </c>
      <c r="H41" s="26" t="s">
        <v>73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1552</v>
      </c>
    </row>
    <row r="42" ht="24" customHeight="1" spans="1:17" x14ac:dyDescent="0.25">
      <c r="A42" s="21" t="s">
        <v>1621</v>
      </c>
      <c r="B42" s="22" t="s">
        <v>24</v>
      </c>
      <c r="C42" s="22" t="s">
        <v>1570</v>
      </c>
      <c r="D42" s="22" t="s">
        <v>1622</v>
      </c>
      <c r="E42" s="22" t="s">
        <v>1623</v>
      </c>
      <c r="F42" s="22" t="s">
        <v>1556</v>
      </c>
      <c r="G42" s="22" t="s">
        <v>1557</v>
      </c>
      <c r="H42" s="23" t="s">
        <v>63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1558</v>
      </c>
    </row>
    <row r="43" ht="24" customHeight="1" spans="1:17" x14ac:dyDescent="0.25">
      <c r="A43" s="21" t="s">
        <v>1624</v>
      </c>
      <c r="B43" s="22" t="s">
        <v>24</v>
      </c>
      <c r="C43" s="22" t="s">
        <v>1570</v>
      </c>
      <c r="D43" s="22" t="s">
        <v>1625</v>
      </c>
      <c r="E43" s="22" t="s">
        <v>1626</v>
      </c>
      <c r="F43" s="22" t="s">
        <v>1562</v>
      </c>
      <c r="G43" s="22" t="s">
        <v>165</v>
      </c>
      <c r="H43" s="23" t="s">
        <v>63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1563</v>
      </c>
    </row>
    <row r="44" ht="24" customHeight="1" spans="1:17" x14ac:dyDescent="0.25">
      <c r="A44" s="21" t="s">
        <v>1627</v>
      </c>
      <c r="B44" s="22" t="s">
        <v>24</v>
      </c>
      <c r="C44" s="22" t="s">
        <v>1570</v>
      </c>
      <c r="D44" s="22" t="s">
        <v>1628</v>
      </c>
      <c r="E44" s="22" t="s">
        <v>1629</v>
      </c>
      <c r="F44" s="22" t="s">
        <v>1567</v>
      </c>
      <c r="G44" s="22" t="s">
        <v>448</v>
      </c>
      <c r="H44" s="9" t="s">
        <v>101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1568</v>
      </c>
    </row>
    <row r="45" ht="24" customHeight="1" spans="1:17" x14ac:dyDescent="0.25">
      <c r="A45" s="21" t="s">
        <v>1630</v>
      </c>
      <c r="B45" s="22" t="s">
        <v>24</v>
      </c>
      <c r="C45" s="22" t="s">
        <v>1631</v>
      </c>
      <c r="D45" s="22" t="s">
        <v>1632</v>
      </c>
      <c r="E45" s="22" t="s">
        <v>1633</v>
      </c>
      <c r="F45" s="22" t="s">
        <v>1467</v>
      </c>
      <c r="G45" s="22" t="s">
        <v>79</v>
      </c>
      <c r="H45" s="26" t="s">
        <v>73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1468</v>
      </c>
    </row>
    <row r="46" ht="24" customHeight="1" spans="1:17" x14ac:dyDescent="0.25">
      <c r="A46" s="21" t="s">
        <v>1634</v>
      </c>
      <c r="B46" s="22" t="s">
        <v>24</v>
      </c>
      <c r="C46" s="22" t="s">
        <v>1631</v>
      </c>
      <c r="D46" s="22" t="s">
        <v>1635</v>
      </c>
      <c r="E46" s="22" t="s">
        <v>1636</v>
      </c>
      <c r="F46" s="22" t="s">
        <v>1472</v>
      </c>
      <c r="G46" s="22" t="s">
        <v>79</v>
      </c>
      <c r="H46" s="26" t="s">
        <v>73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1473</v>
      </c>
    </row>
    <row r="47" ht="24" customHeight="1" spans="1:17" x14ac:dyDescent="0.25">
      <c r="A47" s="21" t="s">
        <v>1637</v>
      </c>
      <c r="B47" s="22" t="s">
        <v>24</v>
      </c>
      <c r="C47" s="22" t="s">
        <v>1631</v>
      </c>
      <c r="D47" s="22" t="s">
        <v>1638</v>
      </c>
      <c r="E47" s="22" t="s">
        <v>1639</v>
      </c>
      <c r="F47" s="22" t="s">
        <v>1477</v>
      </c>
      <c r="G47" s="22" t="s">
        <v>79</v>
      </c>
      <c r="H47" s="23" t="s">
        <v>63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1478</v>
      </c>
    </row>
    <row r="48" ht="24" customHeight="1" spans="1:17" x14ac:dyDescent="0.25">
      <c r="A48" s="21" t="s">
        <v>1640</v>
      </c>
      <c r="B48" s="22" t="s">
        <v>24</v>
      </c>
      <c r="C48" s="22" t="s">
        <v>1631</v>
      </c>
      <c r="D48" s="22" t="s">
        <v>1641</v>
      </c>
      <c r="E48" s="22" t="s">
        <v>1642</v>
      </c>
      <c r="F48" s="22" t="s">
        <v>1482</v>
      </c>
      <c r="G48" s="22" t="s">
        <v>79</v>
      </c>
      <c r="H48" s="23" t="s">
        <v>63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1483</v>
      </c>
    </row>
    <row r="49" ht="24" customHeight="1" spans="1:17" x14ac:dyDescent="0.25">
      <c r="A49" s="21" t="s">
        <v>1643</v>
      </c>
      <c r="B49" s="22" t="s">
        <v>24</v>
      </c>
      <c r="C49" s="22" t="s">
        <v>1631</v>
      </c>
      <c r="D49" s="22" t="s">
        <v>1644</v>
      </c>
      <c r="E49" s="22" t="s">
        <v>1645</v>
      </c>
      <c r="F49" s="22" t="s">
        <v>1487</v>
      </c>
      <c r="G49" s="22" t="s">
        <v>79</v>
      </c>
      <c r="H49" s="9" t="s">
        <v>101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1488</v>
      </c>
    </row>
    <row r="50" ht="24" customHeight="1" spans="1:17" x14ac:dyDescent="0.25">
      <c r="A50" s="21" t="s">
        <v>1646</v>
      </c>
      <c r="B50" s="22" t="s">
        <v>24</v>
      </c>
      <c r="C50" s="22" t="s">
        <v>1631</v>
      </c>
      <c r="D50" s="22" t="s">
        <v>1647</v>
      </c>
      <c r="E50" s="22" t="s">
        <v>1648</v>
      </c>
      <c r="F50" s="22" t="s">
        <v>1492</v>
      </c>
      <c r="G50" s="22" t="s">
        <v>79</v>
      </c>
      <c r="H50" s="23" t="s">
        <v>63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1493</v>
      </c>
    </row>
    <row r="51" ht="24" customHeight="1" spans="1:17" x14ac:dyDescent="0.25">
      <c r="A51" s="21" t="s">
        <v>1649</v>
      </c>
      <c r="B51" s="22" t="s">
        <v>24</v>
      </c>
      <c r="C51" s="22" t="s">
        <v>1631</v>
      </c>
      <c r="D51" s="22" t="s">
        <v>1650</v>
      </c>
      <c r="E51" s="22" t="s">
        <v>1651</v>
      </c>
      <c r="F51" s="22" t="s">
        <v>1497</v>
      </c>
      <c r="G51" s="22" t="s">
        <v>79</v>
      </c>
      <c r="H51" s="26" t="s">
        <v>73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1498</v>
      </c>
    </row>
    <row r="52" ht="24" customHeight="1" spans="1:17" x14ac:dyDescent="0.25">
      <c r="A52" s="21" t="s">
        <v>1652</v>
      </c>
      <c r="B52" s="22" t="s">
        <v>24</v>
      </c>
      <c r="C52" s="22" t="s">
        <v>1631</v>
      </c>
      <c r="D52" s="22" t="s">
        <v>1653</v>
      </c>
      <c r="E52" s="22" t="s">
        <v>1654</v>
      </c>
      <c r="F52" s="22" t="s">
        <v>1502</v>
      </c>
      <c r="G52" s="22" t="s">
        <v>79</v>
      </c>
      <c r="H52" s="26" t="s">
        <v>73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1503</v>
      </c>
    </row>
    <row r="53" ht="24" customHeight="1" spans="1:17" x14ac:dyDescent="0.25">
      <c r="A53" s="21" t="s">
        <v>1655</v>
      </c>
      <c r="B53" s="22" t="s">
        <v>24</v>
      </c>
      <c r="C53" s="22" t="s">
        <v>1631</v>
      </c>
      <c r="D53" s="22" t="s">
        <v>1656</v>
      </c>
      <c r="E53" s="22" t="s">
        <v>1657</v>
      </c>
      <c r="F53" s="22" t="s">
        <v>1507</v>
      </c>
      <c r="G53" s="22" t="s">
        <v>1154</v>
      </c>
      <c r="H53" s="26" t="s">
        <v>73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1508</v>
      </c>
    </row>
    <row r="54" ht="24" customHeight="1" spans="1:17" x14ac:dyDescent="0.25">
      <c r="A54" s="21" t="s">
        <v>1658</v>
      </c>
      <c r="B54" s="22" t="s">
        <v>24</v>
      </c>
      <c r="C54" s="22" t="s">
        <v>1631</v>
      </c>
      <c r="D54" s="22" t="s">
        <v>1659</v>
      </c>
      <c r="E54" s="22" t="s">
        <v>1660</v>
      </c>
      <c r="F54" s="22" t="s">
        <v>1512</v>
      </c>
      <c r="G54" s="22" t="s">
        <v>1513</v>
      </c>
      <c r="H54" s="23" t="s">
        <v>63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1514</v>
      </c>
    </row>
    <row r="55" ht="24" customHeight="1" spans="1:17" x14ac:dyDescent="0.25">
      <c r="A55" s="21" t="s">
        <v>1661</v>
      </c>
      <c r="B55" s="22" t="s">
        <v>24</v>
      </c>
      <c r="C55" s="22" t="s">
        <v>1631</v>
      </c>
      <c r="D55" s="22" t="s">
        <v>1662</v>
      </c>
      <c r="E55" s="22" t="s">
        <v>1663</v>
      </c>
      <c r="F55" s="22" t="s">
        <v>1518</v>
      </c>
      <c r="G55" s="22" t="s">
        <v>1519</v>
      </c>
      <c r="H55" s="23" t="s">
        <v>63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1520</v>
      </c>
    </row>
    <row r="56" ht="24" customHeight="1" spans="1:17" x14ac:dyDescent="0.25">
      <c r="A56" s="21" t="s">
        <v>1664</v>
      </c>
      <c r="B56" s="22" t="s">
        <v>24</v>
      </c>
      <c r="C56" s="22" t="s">
        <v>1631</v>
      </c>
      <c r="D56" s="22" t="s">
        <v>1665</v>
      </c>
      <c r="E56" s="22" t="s">
        <v>1666</v>
      </c>
      <c r="F56" s="22" t="s">
        <v>1524</v>
      </c>
      <c r="G56" s="22" t="s">
        <v>1525</v>
      </c>
      <c r="H56" s="23" t="s">
        <v>63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1526</v>
      </c>
    </row>
    <row r="57" ht="24" customHeight="1" spans="1:17" x14ac:dyDescent="0.25">
      <c r="A57" s="21" t="s">
        <v>1667</v>
      </c>
      <c r="B57" s="22" t="s">
        <v>24</v>
      </c>
      <c r="C57" s="22" t="s">
        <v>1631</v>
      </c>
      <c r="D57" s="22" t="s">
        <v>1668</v>
      </c>
      <c r="E57" s="22" t="s">
        <v>1669</v>
      </c>
      <c r="F57" s="22" t="s">
        <v>1530</v>
      </c>
      <c r="G57" s="22" t="s">
        <v>72</v>
      </c>
      <c r="H57" s="9" t="s">
        <v>101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1531</v>
      </c>
    </row>
    <row r="58" ht="24" customHeight="1" spans="1:17" x14ac:dyDescent="0.25">
      <c r="A58" s="21" t="s">
        <v>1670</v>
      </c>
      <c r="B58" s="22" t="s">
        <v>24</v>
      </c>
      <c r="C58" s="22" t="s">
        <v>1631</v>
      </c>
      <c r="D58" s="22" t="s">
        <v>1671</v>
      </c>
      <c r="E58" s="22" t="s">
        <v>1672</v>
      </c>
      <c r="F58" s="22" t="s">
        <v>1535</v>
      </c>
      <c r="G58" s="22" t="s">
        <v>72</v>
      </c>
      <c r="H58" s="23" t="s">
        <v>63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1536</v>
      </c>
    </row>
    <row r="59" ht="24" customHeight="1" spans="1:17" x14ac:dyDescent="0.25">
      <c r="A59" s="21" t="s">
        <v>1673</v>
      </c>
      <c r="B59" s="22" t="s">
        <v>24</v>
      </c>
      <c r="C59" s="22" t="s">
        <v>1631</v>
      </c>
      <c r="D59" s="22" t="s">
        <v>1674</v>
      </c>
      <c r="E59" s="22" t="s">
        <v>1675</v>
      </c>
      <c r="F59" s="22" t="s">
        <v>1540</v>
      </c>
      <c r="G59" s="22" t="s">
        <v>72</v>
      </c>
      <c r="H59" s="23" t="s">
        <v>63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1541</v>
      </c>
    </row>
    <row r="60" ht="24" customHeight="1" spans="1:17" x14ac:dyDescent="0.25">
      <c r="A60" s="21" t="s">
        <v>1676</v>
      </c>
      <c r="B60" s="22" t="s">
        <v>24</v>
      </c>
      <c r="C60" s="22" t="s">
        <v>1631</v>
      </c>
      <c r="D60" s="22" t="s">
        <v>1677</v>
      </c>
      <c r="E60" s="22" t="s">
        <v>1678</v>
      </c>
      <c r="F60" s="22" t="s">
        <v>1545</v>
      </c>
      <c r="G60" s="22" t="s">
        <v>1546</v>
      </c>
      <c r="H60" s="23" t="s">
        <v>63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1547</v>
      </c>
    </row>
    <row r="61" ht="24" customHeight="1" spans="1:17" x14ac:dyDescent="0.25">
      <c r="A61" s="21" t="s">
        <v>1679</v>
      </c>
      <c r="B61" s="22" t="s">
        <v>24</v>
      </c>
      <c r="C61" s="22" t="s">
        <v>1631</v>
      </c>
      <c r="D61" s="22" t="s">
        <v>1680</v>
      </c>
      <c r="E61" s="22" t="s">
        <v>1681</v>
      </c>
      <c r="F61" s="22" t="s">
        <v>1551</v>
      </c>
      <c r="G61" s="22" t="s">
        <v>165</v>
      </c>
      <c r="H61" s="26" t="s">
        <v>73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1552</v>
      </c>
    </row>
    <row r="62" ht="24" customHeight="1" spans="1:17" x14ac:dyDescent="0.25">
      <c r="A62" s="21" t="s">
        <v>1682</v>
      </c>
      <c r="B62" s="22" t="s">
        <v>24</v>
      </c>
      <c r="C62" s="22" t="s">
        <v>1631</v>
      </c>
      <c r="D62" s="22" t="s">
        <v>1683</v>
      </c>
      <c r="E62" s="22" t="s">
        <v>1684</v>
      </c>
      <c r="F62" s="22" t="s">
        <v>1556</v>
      </c>
      <c r="G62" s="22" t="s">
        <v>1557</v>
      </c>
      <c r="H62" s="23" t="s">
        <v>63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1558</v>
      </c>
    </row>
    <row r="63" ht="24" customHeight="1" spans="1:17" x14ac:dyDescent="0.25">
      <c r="A63" s="21" t="s">
        <v>1685</v>
      </c>
      <c r="B63" s="22" t="s">
        <v>24</v>
      </c>
      <c r="C63" s="22" t="s">
        <v>1631</v>
      </c>
      <c r="D63" s="22" t="s">
        <v>1686</v>
      </c>
      <c r="E63" s="22" t="s">
        <v>1687</v>
      </c>
      <c r="F63" s="22" t="s">
        <v>1562</v>
      </c>
      <c r="G63" s="22" t="s">
        <v>165</v>
      </c>
      <c r="H63" s="23" t="s">
        <v>63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1563</v>
      </c>
    </row>
    <row r="64" ht="24" customHeight="1" spans="1:17" x14ac:dyDescent="0.25">
      <c r="A64" s="21" t="s">
        <v>1688</v>
      </c>
      <c r="B64" s="22" t="s">
        <v>24</v>
      </c>
      <c r="C64" s="22" t="s">
        <v>1631</v>
      </c>
      <c r="D64" s="22" t="s">
        <v>1689</v>
      </c>
      <c r="E64" s="22" t="s">
        <v>1690</v>
      </c>
      <c r="F64" s="22" t="s">
        <v>1567</v>
      </c>
      <c r="G64" s="22" t="s">
        <v>448</v>
      </c>
      <c r="H64" s="9" t="s">
        <v>101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1568</v>
      </c>
    </row>
    <row r="65" ht="24" customHeight="1" spans="1:17" x14ac:dyDescent="0.25">
      <c r="A65" s="21" t="s">
        <v>1691</v>
      </c>
      <c r="B65" s="22" t="s">
        <v>24</v>
      </c>
      <c r="C65" s="22" t="s">
        <v>1692</v>
      </c>
      <c r="D65" s="22" t="s">
        <v>1693</v>
      </c>
      <c r="E65" s="22" t="s">
        <v>1694</v>
      </c>
      <c r="F65" s="22" t="s">
        <v>1467</v>
      </c>
      <c r="G65" s="22" t="s">
        <v>79</v>
      </c>
      <c r="H65" s="26" t="s">
        <v>73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1468</v>
      </c>
    </row>
    <row r="66" ht="24" customHeight="1" spans="1:17" x14ac:dyDescent="0.25">
      <c r="A66" s="21" t="s">
        <v>1695</v>
      </c>
      <c r="B66" s="22" t="s">
        <v>24</v>
      </c>
      <c r="C66" s="22" t="s">
        <v>1692</v>
      </c>
      <c r="D66" s="22" t="s">
        <v>1696</v>
      </c>
      <c r="E66" s="22" t="s">
        <v>1697</v>
      </c>
      <c r="F66" s="22" t="s">
        <v>1472</v>
      </c>
      <c r="G66" s="22" t="s">
        <v>79</v>
      </c>
      <c r="H66" s="26" t="s">
        <v>73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1473</v>
      </c>
    </row>
    <row r="67" ht="24" customHeight="1" spans="1:17" x14ac:dyDescent="0.25">
      <c r="A67" s="21" t="s">
        <v>1698</v>
      </c>
      <c r="B67" s="22" t="s">
        <v>24</v>
      </c>
      <c r="C67" s="22" t="s">
        <v>1692</v>
      </c>
      <c r="D67" s="22" t="s">
        <v>1699</v>
      </c>
      <c r="E67" s="22" t="s">
        <v>1700</v>
      </c>
      <c r="F67" s="22" t="s">
        <v>1477</v>
      </c>
      <c r="G67" s="22" t="s">
        <v>79</v>
      </c>
      <c r="H67" s="23" t="s">
        <v>63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1478</v>
      </c>
    </row>
    <row r="68" ht="24" customHeight="1" spans="1:17" x14ac:dyDescent="0.25">
      <c r="A68" s="21" t="s">
        <v>1701</v>
      </c>
      <c r="B68" s="22" t="s">
        <v>24</v>
      </c>
      <c r="C68" s="22" t="s">
        <v>1692</v>
      </c>
      <c r="D68" s="22" t="s">
        <v>1702</v>
      </c>
      <c r="E68" s="22" t="s">
        <v>1703</v>
      </c>
      <c r="F68" s="22" t="s">
        <v>1482</v>
      </c>
      <c r="G68" s="22" t="s">
        <v>79</v>
      </c>
      <c r="H68" s="23" t="s">
        <v>63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1483</v>
      </c>
    </row>
    <row r="69" ht="24" customHeight="1" spans="1:17" x14ac:dyDescent="0.25">
      <c r="A69" s="21" t="s">
        <v>1704</v>
      </c>
      <c r="B69" s="22" t="s">
        <v>24</v>
      </c>
      <c r="C69" s="22" t="s">
        <v>1692</v>
      </c>
      <c r="D69" s="22" t="s">
        <v>1705</v>
      </c>
      <c r="E69" s="22" t="s">
        <v>1706</v>
      </c>
      <c r="F69" s="22" t="s">
        <v>1487</v>
      </c>
      <c r="G69" s="22" t="s">
        <v>79</v>
      </c>
      <c r="H69" s="9" t="s">
        <v>101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1488</v>
      </c>
    </row>
    <row r="70" ht="24" customHeight="1" spans="1:17" x14ac:dyDescent="0.25">
      <c r="A70" s="21" t="s">
        <v>1707</v>
      </c>
      <c r="B70" s="22" t="s">
        <v>24</v>
      </c>
      <c r="C70" s="22" t="s">
        <v>1692</v>
      </c>
      <c r="D70" s="22" t="s">
        <v>1708</v>
      </c>
      <c r="E70" s="22" t="s">
        <v>1709</v>
      </c>
      <c r="F70" s="22" t="s">
        <v>1492</v>
      </c>
      <c r="G70" s="22" t="s">
        <v>79</v>
      </c>
      <c r="H70" s="23" t="s">
        <v>63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1493</v>
      </c>
    </row>
    <row r="71" ht="24" customHeight="1" spans="1:17" x14ac:dyDescent="0.25">
      <c r="A71" s="21" t="s">
        <v>1710</v>
      </c>
      <c r="B71" s="22" t="s">
        <v>24</v>
      </c>
      <c r="C71" s="22" t="s">
        <v>1692</v>
      </c>
      <c r="D71" s="22" t="s">
        <v>1711</v>
      </c>
      <c r="E71" s="22" t="s">
        <v>1712</v>
      </c>
      <c r="F71" s="22" t="s">
        <v>1497</v>
      </c>
      <c r="G71" s="22" t="s">
        <v>79</v>
      </c>
      <c r="H71" s="26" t="s">
        <v>73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1498</v>
      </c>
    </row>
    <row r="72" ht="24" customHeight="1" spans="1:17" x14ac:dyDescent="0.25">
      <c r="A72" s="21" t="s">
        <v>1713</v>
      </c>
      <c r="B72" s="22" t="s">
        <v>24</v>
      </c>
      <c r="C72" s="22" t="s">
        <v>1692</v>
      </c>
      <c r="D72" s="22" t="s">
        <v>1714</v>
      </c>
      <c r="E72" s="22" t="s">
        <v>1715</v>
      </c>
      <c r="F72" s="22" t="s">
        <v>1502</v>
      </c>
      <c r="G72" s="22" t="s">
        <v>79</v>
      </c>
      <c r="H72" s="26" t="s">
        <v>73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1503</v>
      </c>
    </row>
    <row r="73" ht="24" customHeight="1" spans="1:17" x14ac:dyDescent="0.25">
      <c r="A73" s="21" t="s">
        <v>1716</v>
      </c>
      <c r="B73" s="22" t="s">
        <v>24</v>
      </c>
      <c r="C73" s="22" t="s">
        <v>1692</v>
      </c>
      <c r="D73" s="22" t="s">
        <v>1717</v>
      </c>
      <c r="E73" s="22" t="s">
        <v>1718</v>
      </c>
      <c r="F73" s="22" t="s">
        <v>1507</v>
      </c>
      <c r="G73" s="22" t="s">
        <v>1154</v>
      </c>
      <c r="H73" s="26" t="s">
        <v>73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1508</v>
      </c>
    </row>
    <row r="74" ht="24" customHeight="1" spans="1:17" x14ac:dyDescent="0.25">
      <c r="A74" s="21" t="s">
        <v>1719</v>
      </c>
      <c r="B74" s="22" t="s">
        <v>24</v>
      </c>
      <c r="C74" s="22" t="s">
        <v>1692</v>
      </c>
      <c r="D74" s="22" t="s">
        <v>1720</v>
      </c>
      <c r="E74" s="22" t="s">
        <v>1721</v>
      </c>
      <c r="F74" s="22" t="s">
        <v>1512</v>
      </c>
      <c r="G74" s="22" t="s">
        <v>1513</v>
      </c>
      <c r="H74" s="23" t="s">
        <v>63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1514</v>
      </c>
    </row>
    <row r="75" ht="24" customHeight="1" spans="1:17" x14ac:dyDescent="0.25">
      <c r="A75" s="21" t="s">
        <v>1722</v>
      </c>
      <c r="B75" s="22" t="s">
        <v>24</v>
      </c>
      <c r="C75" s="22" t="s">
        <v>1692</v>
      </c>
      <c r="D75" s="22" t="s">
        <v>1723</v>
      </c>
      <c r="E75" s="22" t="s">
        <v>1724</v>
      </c>
      <c r="F75" s="22" t="s">
        <v>1518</v>
      </c>
      <c r="G75" s="22" t="s">
        <v>1519</v>
      </c>
      <c r="H75" s="23" t="s">
        <v>63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1520</v>
      </c>
    </row>
    <row r="76" ht="24" customHeight="1" spans="1:17" x14ac:dyDescent="0.25">
      <c r="A76" s="21" t="s">
        <v>1725</v>
      </c>
      <c r="B76" s="22" t="s">
        <v>24</v>
      </c>
      <c r="C76" s="22" t="s">
        <v>1692</v>
      </c>
      <c r="D76" s="22" t="s">
        <v>1726</v>
      </c>
      <c r="E76" s="22" t="s">
        <v>1727</v>
      </c>
      <c r="F76" s="22" t="s">
        <v>1524</v>
      </c>
      <c r="G76" s="22" t="s">
        <v>1525</v>
      </c>
      <c r="H76" s="23" t="s">
        <v>63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1526</v>
      </c>
    </row>
    <row r="77" ht="24" customHeight="1" spans="1:17" x14ac:dyDescent="0.25">
      <c r="A77" s="21" t="s">
        <v>1728</v>
      </c>
      <c r="B77" s="22" t="s">
        <v>24</v>
      </c>
      <c r="C77" s="22" t="s">
        <v>1692</v>
      </c>
      <c r="D77" s="22" t="s">
        <v>1729</v>
      </c>
      <c r="E77" s="22" t="s">
        <v>1730</v>
      </c>
      <c r="F77" s="22" t="s">
        <v>1530</v>
      </c>
      <c r="G77" s="22" t="s">
        <v>72</v>
      </c>
      <c r="H77" s="9" t="s">
        <v>101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1531</v>
      </c>
    </row>
    <row r="78" ht="24" customHeight="1" spans="1:17" x14ac:dyDescent="0.25">
      <c r="A78" s="21" t="s">
        <v>1731</v>
      </c>
      <c r="B78" s="22" t="s">
        <v>24</v>
      </c>
      <c r="C78" s="22" t="s">
        <v>1692</v>
      </c>
      <c r="D78" s="22" t="s">
        <v>1732</v>
      </c>
      <c r="E78" s="22" t="s">
        <v>1733</v>
      </c>
      <c r="F78" s="22" t="s">
        <v>1535</v>
      </c>
      <c r="G78" s="22" t="s">
        <v>72</v>
      </c>
      <c r="H78" s="23" t="s">
        <v>63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1536</v>
      </c>
    </row>
    <row r="79" ht="24" customHeight="1" spans="1:17" x14ac:dyDescent="0.25">
      <c r="A79" s="21" t="s">
        <v>1734</v>
      </c>
      <c r="B79" s="22" t="s">
        <v>24</v>
      </c>
      <c r="C79" s="22" t="s">
        <v>1692</v>
      </c>
      <c r="D79" s="22" t="s">
        <v>1735</v>
      </c>
      <c r="E79" s="22" t="s">
        <v>1736</v>
      </c>
      <c r="F79" s="22" t="s">
        <v>1540</v>
      </c>
      <c r="G79" s="22" t="s">
        <v>72</v>
      </c>
      <c r="H79" s="23" t="s">
        <v>63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1541</v>
      </c>
    </row>
    <row r="80" ht="24" customHeight="1" spans="1:17" x14ac:dyDescent="0.25">
      <c r="A80" s="21" t="s">
        <v>1737</v>
      </c>
      <c r="B80" s="22" t="s">
        <v>24</v>
      </c>
      <c r="C80" s="22" t="s">
        <v>1692</v>
      </c>
      <c r="D80" s="22" t="s">
        <v>1738</v>
      </c>
      <c r="E80" s="22" t="s">
        <v>1739</v>
      </c>
      <c r="F80" s="22" t="s">
        <v>1545</v>
      </c>
      <c r="G80" s="22" t="s">
        <v>1546</v>
      </c>
      <c r="H80" s="23" t="s">
        <v>63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1547</v>
      </c>
    </row>
    <row r="81" ht="24" customHeight="1" spans="1:17" x14ac:dyDescent="0.25">
      <c r="A81" s="21" t="s">
        <v>1740</v>
      </c>
      <c r="B81" s="22" t="s">
        <v>24</v>
      </c>
      <c r="C81" s="22" t="s">
        <v>1692</v>
      </c>
      <c r="D81" s="22" t="s">
        <v>1741</v>
      </c>
      <c r="E81" s="22" t="s">
        <v>1742</v>
      </c>
      <c r="F81" s="22" t="s">
        <v>1551</v>
      </c>
      <c r="G81" s="22" t="s">
        <v>165</v>
      </c>
      <c r="H81" s="26" t="s">
        <v>73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1552</v>
      </c>
    </row>
    <row r="82" ht="24" customHeight="1" spans="1:17" x14ac:dyDescent="0.25">
      <c r="A82" s="21" t="s">
        <v>1743</v>
      </c>
      <c r="B82" s="22" t="s">
        <v>24</v>
      </c>
      <c r="C82" s="22" t="s">
        <v>1692</v>
      </c>
      <c r="D82" s="22" t="s">
        <v>1744</v>
      </c>
      <c r="E82" s="22" t="s">
        <v>1745</v>
      </c>
      <c r="F82" s="22" t="s">
        <v>1556</v>
      </c>
      <c r="G82" s="22" t="s">
        <v>1557</v>
      </c>
      <c r="H82" s="23" t="s">
        <v>63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1558</v>
      </c>
    </row>
    <row r="83" ht="24" customHeight="1" spans="1:17" x14ac:dyDescent="0.25">
      <c r="A83" s="21" t="s">
        <v>1746</v>
      </c>
      <c r="B83" s="22" t="s">
        <v>24</v>
      </c>
      <c r="C83" s="22" t="s">
        <v>1692</v>
      </c>
      <c r="D83" s="22" t="s">
        <v>1747</v>
      </c>
      <c r="E83" s="22" t="s">
        <v>1748</v>
      </c>
      <c r="F83" s="22" t="s">
        <v>1562</v>
      </c>
      <c r="G83" s="22" t="s">
        <v>165</v>
      </c>
      <c r="H83" s="23" t="s">
        <v>63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1563</v>
      </c>
    </row>
    <row r="84" ht="24" customHeight="1" spans="1:17" x14ac:dyDescent="0.25">
      <c r="A84" s="21" t="s">
        <v>1749</v>
      </c>
      <c r="B84" s="22" t="s">
        <v>24</v>
      </c>
      <c r="C84" s="22" t="s">
        <v>1692</v>
      </c>
      <c r="D84" s="22" t="s">
        <v>1750</v>
      </c>
      <c r="E84" s="22" t="s">
        <v>1751</v>
      </c>
      <c r="F84" s="22" t="s">
        <v>1567</v>
      </c>
      <c r="G84" s="22" t="s">
        <v>448</v>
      </c>
      <c r="H84" s="9" t="s">
        <v>101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1568</v>
      </c>
    </row>
    <row r="85" ht="24" customHeight="1" spans="1:17" x14ac:dyDescent="0.25">
      <c r="A85" s="21" t="s">
        <v>1752</v>
      </c>
      <c r="B85" s="22" t="s">
        <v>24</v>
      </c>
      <c r="C85" s="22" t="s">
        <v>1753</v>
      </c>
      <c r="D85" s="22" t="s">
        <v>1754</v>
      </c>
      <c r="E85" s="22" t="s">
        <v>1755</v>
      </c>
      <c r="F85" s="22" t="s">
        <v>1467</v>
      </c>
      <c r="G85" s="22" t="s">
        <v>79</v>
      </c>
      <c r="H85" s="26" t="s">
        <v>73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1468</v>
      </c>
    </row>
    <row r="86" ht="24" customHeight="1" spans="1:17" x14ac:dyDescent="0.25">
      <c r="A86" s="21" t="s">
        <v>1756</v>
      </c>
      <c r="B86" s="22" t="s">
        <v>24</v>
      </c>
      <c r="C86" s="22" t="s">
        <v>1753</v>
      </c>
      <c r="D86" s="22" t="s">
        <v>1757</v>
      </c>
      <c r="E86" s="22" t="s">
        <v>1758</v>
      </c>
      <c r="F86" s="22" t="s">
        <v>1472</v>
      </c>
      <c r="G86" s="22" t="s">
        <v>79</v>
      </c>
      <c r="H86" s="26" t="s">
        <v>73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1473</v>
      </c>
    </row>
    <row r="87" ht="24" customHeight="1" spans="1:17" x14ac:dyDescent="0.25">
      <c r="A87" s="21" t="s">
        <v>1759</v>
      </c>
      <c r="B87" s="22" t="s">
        <v>24</v>
      </c>
      <c r="C87" s="22" t="s">
        <v>1753</v>
      </c>
      <c r="D87" s="22" t="s">
        <v>1760</v>
      </c>
      <c r="E87" s="22" t="s">
        <v>1761</v>
      </c>
      <c r="F87" s="22" t="s">
        <v>1477</v>
      </c>
      <c r="G87" s="22" t="s">
        <v>79</v>
      </c>
      <c r="H87" s="23" t="s">
        <v>63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1478</v>
      </c>
    </row>
    <row r="88" ht="24" customHeight="1" spans="1:17" x14ac:dyDescent="0.25">
      <c r="A88" s="21" t="s">
        <v>1762</v>
      </c>
      <c r="B88" s="22" t="s">
        <v>24</v>
      </c>
      <c r="C88" s="22" t="s">
        <v>1753</v>
      </c>
      <c r="D88" s="22" t="s">
        <v>1763</v>
      </c>
      <c r="E88" s="22" t="s">
        <v>1764</v>
      </c>
      <c r="F88" s="22" t="s">
        <v>1482</v>
      </c>
      <c r="G88" s="22" t="s">
        <v>79</v>
      </c>
      <c r="H88" s="23" t="s">
        <v>63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1483</v>
      </c>
    </row>
    <row r="89" ht="24" customHeight="1" spans="1:17" x14ac:dyDescent="0.25">
      <c r="A89" s="21" t="s">
        <v>1765</v>
      </c>
      <c r="B89" s="22" t="s">
        <v>24</v>
      </c>
      <c r="C89" s="22" t="s">
        <v>1753</v>
      </c>
      <c r="D89" s="22" t="s">
        <v>1766</v>
      </c>
      <c r="E89" s="22" t="s">
        <v>1767</v>
      </c>
      <c r="F89" s="22" t="s">
        <v>1487</v>
      </c>
      <c r="G89" s="22" t="s">
        <v>79</v>
      </c>
      <c r="H89" s="9" t="s">
        <v>101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1488</v>
      </c>
    </row>
    <row r="90" ht="24" customHeight="1" spans="1:17" x14ac:dyDescent="0.25">
      <c r="A90" s="21" t="s">
        <v>1768</v>
      </c>
      <c r="B90" s="22" t="s">
        <v>24</v>
      </c>
      <c r="C90" s="22" t="s">
        <v>1753</v>
      </c>
      <c r="D90" s="22" t="s">
        <v>1769</v>
      </c>
      <c r="E90" s="22" t="s">
        <v>1770</v>
      </c>
      <c r="F90" s="22" t="s">
        <v>1492</v>
      </c>
      <c r="G90" s="22" t="s">
        <v>79</v>
      </c>
      <c r="H90" s="23" t="s">
        <v>63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1493</v>
      </c>
    </row>
    <row r="91" ht="24" customHeight="1" spans="1:17" x14ac:dyDescent="0.25">
      <c r="A91" s="21" t="s">
        <v>1771</v>
      </c>
      <c r="B91" s="22" t="s">
        <v>24</v>
      </c>
      <c r="C91" s="22" t="s">
        <v>1753</v>
      </c>
      <c r="D91" s="22" t="s">
        <v>1772</v>
      </c>
      <c r="E91" s="22" t="s">
        <v>1773</v>
      </c>
      <c r="F91" s="22" t="s">
        <v>1497</v>
      </c>
      <c r="G91" s="22" t="s">
        <v>79</v>
      </c>
      <c r="H91" s="26" t="s">
        <v>73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1498</v>
      </c>
    </row>
    <row r="92" ht="24" customHeight="1" spans="1:17" x14ac:dyDescent="0.25">
      <c r="A92" s="21" t="s">
        <v>1774</v>
      </c>
      <c r="B92" s="22" t="s">
        <v>24</v>
      </c>
      <c r="C92" s="22" t="s">
        <v>1753</v>
      </c>
      <c r="D92" s="22" t="s">
        <v>1775</v>
      </c>
      <c r="E92" s="22" t="s">
        <v>1776</v>
      </c>
      <c r="F92" s="22" t="s">
        <v>1502</v>
      </c>
      <c r="G92" s="22" t="s">
        <v>79</v>
      </c>
      <c r="H92" s="26" t="s">
        <v>73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1503</v>
      </c>
    </row>
    <row r="93" ht="24" customHeight="1" spans="1:17" x14ac:dyDescent="0.25">
      <c r="A93" s="21" t="s">
        <v>1777</v>
      </c>
      <c r="B93" s="22" t="s">
        <v>24</v>
      </c>
      <c r="C93" s="22" t="s">
        <v>1753</v>
      </c>
      <c r="D93" s="22" t="s">
        <v>1778</v>
      </c>
      <c r="E93" s="22" t="s">
        <v>1779</v>
      </c>
      <c r="F93" s="22" t="s">
        <v>1507</v>
      </c>
      <c r="G93" s="22" t="s">
        <v>1154</v>
      </c>
      <c r="H93" s="26" t="s">
        <v>73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1508</v>
      </c>
    </row>
    <row r="94" ht="24" customHeight="1" spans="1:17" x14ac:dyDescent="0.25">
      <c r="A94" s="21" t="s">
        <v>1780</v>
      </c>
      <c r="B94" s="22" t="s">
        <v>24</v>
      </c>
      <c r="C94" s="22" t="s">
        <v>1753</v>
      </c>
      <c r="D94" s="22" t="s">
        <v>1781</v>
      </c>
      <c r="E94" s="22" t="s">
        <v>1782</v>
      </c>
      <c r="F94" s="22" t="s">
        <v>1512</v>
      </c>
      <c r="G94" s="22" t="s">
        <v>1513</v>
      </c>
      <c r="H94" s="23" t="s">
        <v>63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1514</v>
      </c>
    </row>
    <row r="95" ht="24" customHeight="1" spans="1:17" x14ac:dyDescent="0.25">
      <c r="A95" s="21" t="s">
        <v>1783</v>
      </c>
      <c r="B95" s="22" t="s">
        <v>24</v>
      </c>
      <c r="C95" s="22" t="s">
        <v>1753</v>
      </c>
      <c r="D95" s="22" t="s">
        <v>1784</v>
      </c>
      <c r="E95" s="22" t="s">
        <v>1785</v>
      </c>
      <c r="F95" s="22" t="s">
        <v>1518</v>
      </c>
      <c r="G95" s="22" t="s">
        <v>1519</v>
      </c>
      <c r="H95" s="23" t="s">
        <v>63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1520</v>
      </c>
    </row>
    <row r="96" ht="24" customHeight="1" spans="1:17" x14ac:dyDescent="0.25">
      <c r="A96" s="21" t="s">
        <v>1786</v>
      </c>
      <c r="B96" s="22" t="s">
        <v>24</v>
      </c>
      <c r="C96" s="22" t="s">
        <v>1753</v>
      </c>
      <c r="D96" s="22" t="s">
        <v>1787</v>
      </c>
      <c r="E96" s="22" t="s">
        <v>1788</v>
      </c>
      <c r="F96" s="22" t="s">
        <v>1524</v>
      </c>
      <c r="G96" s="22" t="s">
        <v>1525</v>
      </c>
      <c r="H96" s="23" t="s">
        <v>63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1526</v>
      </c>
    </row>
    <row r="97" ht="24" customHeight="1" spans="1:17" x14ac:dyDescent="0.25">
      <c r="A97" s="21" t="s">
        <v>1789</v>
      </c>
      <c r="B97" s="22" t="s">
        <v>24</v>
      </c>
      <c r="C97" s="22" t="s">
        <v>1753</v>
      </c>
      <c r="D97" s="22" t="s">
        <v>1790</v>
      </c>
      <c r="E97" s="22" t="s">
        <v>1791</v>
      </c>
      <c r="F97" s="22" t="s">
        <v>1530</v>
      </c>
      <c r="G97" s="22" t="s">
        <v>72</v>
      </c>
      <c r="H97" s="9" t="s">
        <v>101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1531</v>
      </c>
    </row>
    <row r="98" ht="24" customHeight="1" spans="1:17" x14ac:dyDescent="0.25">
      <c r="A98" s="21" t="s">
        <v>1792</v>
      </c>
      <c r="B98" s="22" t="s">
        <v>24</v>
      </c>
      <c r="C98" s="22" t="s">
        <v>1753</v>
      </c>
      <c r="D98" s="22" t="s">
        <v>1793</v>
      </c>
      <c r="E98" s="22" t="s">
        <v>1794</v>
      </c>
      <c r="F98" s="22" t="s">
        <v>1535</v>
      </c>
      <c r="G98" s="22" t="s">
        <v>72</v>
      </c>
      <c r="H98" s="23" t="s">
        <v>63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1536</v>
      </c>
    </row>
    <row r="99" ht="24" customHeight="1" spans="1:17" x14ac:dyDescent="0.25">
      <c r="A99" s="21" t="s">
        <v>1795</v>
      </c>
      <c r="B99" s="22" t="s">
        <v>24</v>
      </c>
      <c r="C99" s="22" t="s">
        <v>1753</v>
      </c>
      <c r="D99" s="22" t="s">
        <v>1796</v>
      </c>
      <c r="E99" s="22" t="s">
        <v>1797</v>
      </c>
      <c r="F99" s="22" t="s">
        <v>1540</v>
      </c>
      <c r="G99" s="22" t="s">
        <v>72</v>
      </c>
      <c r="H99" s="23" t="s">
        <v>63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1541</v>
      </c>
    </row>
    <row r="100" ht="24" customHeight="1" spans="1:17" x14ac:dyDescent="0.25">
      <c r="A100" s="21" t="s">
        <v>1798</v>
      </c>
      <c r="B100" s="22" t="s">
        <v>24</v>
      </c>
      <c r="C100" s="22" t="s">
        <v>1753</v>
      </c>
      <c r="D100" s="22" t="s">
        <v>1799</v>
      </c>
      <c r="E100" s="22" t="s">
        <v>1800</v>
      </c>
      <c r="F100" s="22" t="s">
        <v>1545</v>
      </c>
      <c r="G100" s="22" t="s">
        <v>1546</v>
      </c>
      <c r="H100" s="23" t="s">
        <v>63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1547</v>
      </c>
    </row>
    <row r="101" ht="24" customHeight="1" spans="1:17" x14ac:dyDescent="0.25">
      <c r="A101" s="21" t="s">
        <v>1801</v>
      </c>
      <c r="B101" s="22" t="s">
        <v>24</v>
      </c>
      <c r="C101" s="22" t="s">
        <v>1753</v>
      </c>
      <c r="D101" s="22" t="s">
        <v>1802</v>
      </c>
      <c r="E101" s="22" t="s">
        <v>1803</v>
      </c>
      <c r="F101" s="22" t="s">
        <v>1551</v>
      </c>
      <c r="G101" s="22" t="s">
        <v>165</v>
      </c>
      <c r="H101" s="26" t="s">
        <v>73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1552</v>
      </c>
    </row>
    <row r="102" ht="24" customHeight="1" spans="1:17" x14ac:dyDescent="0.25">
      <c r="A102" s="21" t="s">
        <v>1804</v>
      </c>
      <c r="B102" s="22" t="s">
        <v>24</v>
      </c>
      <c r="C102" s="22" t="s">
        <v>1753</v>
      </c>
      <c r="D102" s="22" t="s">
        <v>1805</v>
      </c>
      <c r="E102" s="22" t="s">
        <v>1806</v>
      </c>
      <c r="F102" s="22" t="s">
        <v>1556</v>
      </c>
      <c r="G102" s="22" t="s">
        <v>1557</v>
      </c>
      <c r="H102" s="23" t="s">
        <v>63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1558</v>
      </c>
    </row>
    <row r="103" ht="24" customHeight="1" spans="1:17" x14ac:dyDescent="0.25">
      <c r="A103" s="21" t="s">
        <v>1807</v>
      </c>
      <c r="B103" s="22" t="s">
        <v>24</v>
      </c>
      <c r="C103" s="22" t="s">
        <v>1753</v>
      </c>
      <c r="D103" s="22" t="s">
        <v>1808</v>
      </c>
      <c r="E103" s="22" t="s">
        <v>1809</v>
      </c>
      <c r="F103" s="22" t="s">
        <v>1562</v>
      </c>
      <c r="G103" s="22" t="s">
        <v>165</v>
      </c>
      <c r="H103" s="23" t="s">
        <v>63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1563</v>
      </c>
    </row>
    <row r="104" ht="24" customHeight="1" spans="1:17" x14ac:dyDescent="0.25">
      <c r="A104" s="21" t="s">
        <v>1810</v>
      </c>
      <c r="B104" s="22" t="s">
        <v>24</v>
      </c>
      <c r="C104" s="22" t="s">
        <v>1753</v>
      </c>
      <c r="D104" s="22" t="s">
        <v>1811</v>
      </c>
      <c r="E104" s="22" t="s">
        <v>1812</v>
      </c>
      <c r="F104" s="22" t="s">
        <v>1567</v>
      </c>
      <c r="G104" s="22" t="s">
        <v>448</v>
      </c>
      <c r="H104" s="9" t="s">
        <v>101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1568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32" t="s">
        <v>1813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ht="24" customHeight="1" spans="1:1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1814</v>
      </c>
      <c r="B5" s="22" t="s">
        <v>26</v>
      </c>
      <c r="C5" s="22" t="s">
        <v>1815</v>
      </c>
      <c r="D5" s="22" t="s">
        <v>1816</v>
      </c>
      <c r="E5" s="22" t="s">
        <v>1817</v>
      </c>
      <c r="F5" s="22" t="s">
        <v>1818</v>
      </c>
      <c r="G5" s="22" t="s">
        <v>165</v>
      </c>
      <c r="H5" s="26" t="s">
        <v>73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1819</v>
      </c>
    </row>
    <row r="6" ht="24" customHeight="1" spans="1:17" x14ac:dyDescent="0.25">
      <c r="A6" s="21" t="s">
        <v>1820</v>
      </c>
      <c r="B6" s="22" t="s">
        <v>26</v>
      </c>
      <c r="C6" s="22" t="s">
        <v>1815</v>
      </c>
      <c r="D6" s="22" t="s">
        <v>1821</v>
      </c>
      <c r="E6" s="22" t="s">
        <v>1822</v>
      </c>
      <c r="F6" s="22" t="s">
        <v>1823</v>
      </c>
      <c r="G6" s="22" t="s">
        <v>1165</v>
      </c>
      <c r="H6" s="23" t="s">
        <v>63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1824</v>
      </c>
    </row>
    <row r="7" ht="24" customHeight="1" spans="1:17" x14ac:dyDescent="0.25">
      <c r="A7" s="21" t="s">
        <v>1825</v>
      </c>
      <c r="B7" s="22" t="s">
        <v>26</v>
      </c>
      <c r="C7" s="22" t="s">
        <v>1815</v>
      </c>
      <c r="D7" s="22" t="s">
        <v>1826</v>
      </c>
      <c r="E7" s="22" t="s">
        <v>1827</v>
      </c>
      <c r="F7" s="22" t="s">
        <v>1828</v>
      </c>
      <c r="G7" s="22" t="s">
        <v>1829</v>
      </c>
      <c r="H7" s="26" t="s">
        <v>73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1830</v>
      </c>
    </row>
    <row r="8" ht="24" customHeight="1" spans="1:17" x14ac:dyDescent="0.25">
      <c r="A8" s="21" t="s">
        <v>1831</v>
      </c>
      <c r="B8" s="22" t="s">
        <v>26</v>
      </c>
      <c r="C8" s="22" t="s">
        <v>1815</v>
      </c>
      <c r="D8" s="22" t="s">
        <v>1832</v>
      </c>
      <c r="E8" s="22" t="s">
        <v>1833</v>
      </c>
      <c r="F8" s="22" t="s">
        <v>1834</v>
      </c>
      <c r="G8" s="22" t="s">
        <v>1835</v>
      </c>
      <c r="H8" s="26" t="s">
        <v>73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1836</v>
      </c>
    </row>
    <row r="9" ht="24" customHeight="1" spans="1:17" x14ac:dyDescent="0.25">
      <c r="A9" s="21" t="s">
        <v>1837</v>
      </c>
      <c r="B9" s="22" t="s">
        <v>26</v>
      </c>
      <c r="C9" s="22" t="s">
        <v>1815</v>
      </c>
      <c r="D9" s="22" t="s">
        <v>1838</v>
      </c>
      <c r="E9" s="22" t="s">
        <v>1839</v>
      </c>
      <c r="F9" s="22" t="s">
        <v>1840</v>
      </c>
      <c r="G9" s="22" t="s">
        <v>1829</v>
      </c>
      <c r="H9" s="23" t="s">
        <v>63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1841</v>
      </c>
    </row>
    <row r="10" ht="24" customHeight="1" spans="1:17" x14ac:dyDescent="0.25">
      <c r="A10" s="21" t="s">
        <v>1842</v>
      </c>
      <c r="B10" s="22" t="s">
        <v>26</v>
      </c>
      <c r="C10" s="22" t="s">
        <v>1815</v>
      </c>
      <c r="D10" s="22" t="s">
        <v>1843</v>
      </c>
      <c r="E10" s="22" t="s">
        <v>1844</v>
      </c>
      <c r="F10" s="22" t="s">
        <v>1845</v>
      </c>
      <c r="G10" s="22" t="s">
        <v>1829</v>
      </c>
      <c r="H10" s="23" t="s">
        <v>63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1846</v>
      </c>
    </row>
    <row r="11" ht="24" customHeight="1" spans="1:17" x14ac:dyDescent="0.25">
      <c r="A11" s="21" t="s">
        <v>1847</v>
      </c>
      <c r="B11" s="22" t="s">
        <v>26</v>
      </c>
      <c r="C11" s="22" t="s">
        <v>1815</v>
      </c>
      <c r="D11" s="22" t="s">
        <v>1848</v>
      </c>
      <c r="E11" s="22" t="s">
        <v>1849</v>
      </c>
      <c r="F11" s="22" t="s">
        <v>1850</v>
      </c>
      <c r="G11" s="22" t="s">
        <v>79</v>
      </c>
      <c r="H11" s="26" t="s">
        <v>73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1851</v>
      </c>
    </row>
    <row r="12" ht="24" customHeight="1" spans="1:17" x14ac:dyDescent="0.25">
      <c r="A12" s="21" t="s">
        <v>1852</v>
      </c>
      <c r="B12" s="22" t="s">
        <v>26</v>
      </c>
      <c r="C12" s="22" t="s">
        <v>1815</v>
      </c>
      <c r="D12" s="22" t="s">
        <v>1853</v>
      </c>
      <c r="E12" s="22" t="s">
        <v>1854</v>
      </c>
      <c r="F12" s="22" t="s">
        <v>1855</v>
      </c>
      <c r="G12" s="22" t="s">
        <v>1856</v>
      </c>
      <c r="H12" s="23" t="s">
        <v>63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1857</v>
      </c>
    </row>
    <row r="13" ht="24" customHeight="1" spans="1:17" x14ac:dyDescent="0.25">
      <c r="A13" s="21" t="s">
        <v>1858</v>
      </c>
      <c r="B13" s="22" t="s">
        <v>26</v>
      </c>
      <c r="C13" s="22" t="s">
        <v>1815</v>
      </c>
      <c r="D13" s="22" t="s">
        <v>1859</v>
      </c>
      <c r="E13" s="22" t="s">
        <v>1860</v>
      </c>
      <c r="F13" s="22" t="s">
        <v>1861</v>
      </c>
      <c r="G13" s="22" t="s">
        <v>79</v>
      </c>
      <c r="H13" s="26" t="s">
        <v>73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1862</v>
      </c>
    </row>
    <row r="14" ht="24" customHeight="1" spans="1:17" x14ac:dyDescent="0.25">
      <c r="A14" s="21" t="s">
        <v>1863</v>
      </c>
      <c r="B14" s="22" t="s">
        <v>26</v>
      </c>
      <c r="C14" s="22" t="s">
        <v>1815</v>
      </c>
      <c r="D14" s="22" t="s">
        <v>1864</v>
      </c>
      <c r="E14" s="22" t="s">
        <v>1865</v>
      </c>
      <c r="F14" s="22" t="s">
        <v>1866</v>
      </c>
      <c r="G14" s="22" t="s">
        <v>85</v>
      </c>
      <c r="H14" s="23" t="s">
        <v>63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1867</v>
      </c>
    </row>
    <row r="15" ht="24" customHeight="1" spans="1:17" x14ac:dyDescent="0.25">
      <c r="A15" s="21" t="s">
        <v>1868</v>
      </c>
      <c r="B15" s="22" t="s">
        <v>26</v>
      </c>
      <c r="C15" s="22" t="s">
        <v>1815</v>
      </c>
      <c r="D15" s="22" t="s">
        <v>1869</v>
      </c>
      <c r="E15" s="22" t="s">
        <v>1870</v>
      </c>
      <c r="F15" s="22" t="s">
        <v>1871</v>
      </c>
      <c r="G15" s="22" t="s">
        <v>62</v>
      </c>
      <c r="H15" s="23" t="s">
        <v>63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1872</v>
      </c>
    </row>
    <row r="16" ht="24" customHeight="1" spans="1:17" x14ac:dyDescent="0.25">
      <c r="A16" s="21" t="s">
        <v>1873</v>
      </c>
      <c r="B16" s="22" t="s">
        <v>26</v>
      </c>
      <c r="C16" s="22" t="s">
        <v>1815</v>
      </c>
      <c r="D16" s="22" t="s">
        <v>1874</v>
      </c>
      <c r="E16" s="22" t="s">
        <v>1875</v>
      </c>
      <c r="F16" s="22" t="s">
        <v>1876</v>
      </c>
      <c r="G16" s="22" t="s">
        <v>165</v>
      </c>
      <c r="H16" s="23" t="s">
        <v>63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1877</v>
      </c>
    </row>
    <row r="17" ht="24" customHeight="1" spans="1:17" x14ac:dyDescent="0.25">
      <c r="A17" s="21" t="s">
        <v>1878</v>
      </c>
      <c r="B17" s="22" t="s">
        <v>26</v>
      </c>
      <c r="C17" s="22" t="s">
        <v>1815</v>
      </c>
      <c r="D17" s="22" t="s">
        <v>1879</v>
      </c>
      <c r="E17" s="22" t="s">
        <v>1880</v>
      </c>
      <c r="F17" s="22" t="s">
        <v>1881</v>
      </c>
      <c r="G17" s="22" t="s">
        <v>165</v>
      </c>
      <c r="H17" s="23" t="s">
        <v>63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1882</v>
      </c>
    </row>
    <row r="18" ht="24" customHeight="1" spans="1:17" x14ac:dyDescent="0.25">
      <c r="A18" s="21" t="s">
        <v>1883</v>
      </c>
      <c r="B18" s="22" t="s">
        <v>26</v>
      </c>
      <c r="C18" s="22" t="s">
        <v>1815</v>
      </c>
      <c r="D18" s="22" t="s">
        <v>1884</v>
      </c>
      <c r="E18" s="22" t="s">
        <v>1885</v>
      </c>
      <c r="F18" s="22" t="s">
        <v>1886</v>
      </c>
      <c r="G18" s="22" t="s">
        <v>1829</v>
      </c>
      <c r="H18" s="23" t="s">
        <v>63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1887</v>
      </c>
    </row>
    <row r="19" ht="24" customHeight="1" spans="1:17" x14ac:dyDescent="0.25">
      <c r="A19" s="21" t="s">
        <v>1888</v>
      </c>
      <c r="B19" s="22" t="s">
        <v>26</v>
      </c>
      <c r="C19" s="22" t="s">
        <v>1815</v>
      </c>
      <c r="D19" s="22" t="s">
        <v>1889</v>
      </c>
      <c r="E19" s="22" t="s">
        <v>1890</v>
      </c>
      <c r="F19" s="22" t="s">
        <v>1891</v>
      </c>
      <c r="G19" s="22" t="s">
        <v>165</v>
      </c>
      <c r="H19" s="9" t="s">
        <v>101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1892</v>
      </c>
    </row>
    <row r="20" ht="24" customHeight="1" spans="1:17" x14ac:dyDescent="0.25">
      <c r="A20" s="21" t="s">
        <v>1893</v>
      </c>
      <c r="B20" s="22" t="s">
        <v>26</v>
      </c>
      <c r="C20" s="22" t="s">
        <v>1815</v>
      </c>
      <c r="D20" s="22" t="s">
        <v>1894</v>
      </c>
      <c r="E20" s="22" t="s">
        <v>1895</v>
      </c>
      <c r="F20" s="22" t="s">
        <v>1896</v>
      </c>
      <c r="G20" s="22" t="s">
        <v>85</v>
      </c>
      <c r="H20" s="23" t="s">
        <v>63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1897</v>
      </c>
    </row>
    <row r="21" ht="24" customHeight="1" spans="1:17" x14ac:dyDescent="0.25">
      <c r="A21" s="21" t="s">
        <v>1898</v>
      </c>
      <c r="B21" s="22" t="s">
        <v>26</v>
      </c>
      <c r="C21" s="22" t="s">
        <v>1815</v>
      </c>
      <c r="D21" s="22" t="s">
        <v>1899</v>
      </c>
      <c r="E21" s="22" t="s">
        <v>1900</v>
      </c>
      <c r="F21" s="22" t="s">
        <v>1901</v>
      </c>
      <c r="G21" s="22" t="s">
        <v>1829</v>
      </c>
      <c r="H21" s="23" t="s">
        <v>63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1902</v>
      </c>
    </row>
    <row r="22" ht="24" customHeight="1" spans="1:17" x14ac:dyDescent="0.25">
      <c r="A22" s="21" t="s">
        <v>1903</v>
      </c>
      <c r="B22" s="22" t="s">
        <v>26</v>
      </c>
      <c r="C22" s="22" t="s">
        <v>1815</v>
      </c>
      <c r="D22" s="22" t="s">
        <v>1904</v>
      </c>
      <c r="E22" s="22" t="s">
        <v>1905</v>
      </c>
      <c r="F22" s="22" t="s">
        <v>1906</v>
      </c>
      <c r="G22" s="22" t="s">
        <v>1829</v>
      </c>
      <c r="H22" s="23" t="s">
        <v>63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1907</v>
      </c>
    </row>
    <row r="23" ht="24" customHeight="1" spans="1:17" x14ac:dyDescent="0.25">
      <c r="A23" s="21" t="s">
        <v>1908</v>
      </c>
      <c r="B23" s="22" t="s">
        <v>26</v>
      </c>
      <c r="C23" s="22" t="s">
        <v>1815</v>
      </c>
      <c r="D23" s="22" t="s">
        <v>1909</v>
      </c>
      <c r="E23" s="22" t="s">
        <v>1910</v>
      </c>
      <c r="F23" s="22" t="s">
        <v>1911</v>
      </c>
      <c r="G23" s="22" t="s">
        <v>1829</v>
      </c>
      <c r="H23" s="9" t="s">
        <v>101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1912</v>
      </c>
    </row>
    <row r="24" ht="24" customHeight="1" spans="1:17" x14ac:dyDescent="0.25">
      <c r="A24" s="21" t="s">
        <v>1913</v>
      </c>
      <c r="B24" s="22" t="s">
        <v>26</v>
      </c>
      <c r="C24" s="22" t="s">
        <v>1815</v>
      </c>
      <c r="D24" s="22" t="s">
        <v>1914</v>
      </c>
      <c r="E24" s="22" t="s">
        <v>1915</v>
      </c>
      <c r="F24" s="22" t="s">
        <v>1916</v>
      </c>
      <c r="G24" s="22" t="s">
        <v>85</v>
      </c>
      <c r="H24" s="23" t="s">
        <v>63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1917</v>
      </c>
    </row>
    <row r="25" ht="24" customHeight="1" spans="1:17" x14ac:dyDescent="0.25">
      <c r="A25" s="21" t="s">
        <v>1918</v>
      </c>
      <c r="B25" s="22" t="s">
        <v>26</v>
      </c>
      <c r="C25" s="22" t="s">
        <v>1919</v>
      </c>
      <c r="D25" s="22" t="s">
        <v>1920</v>
      </c>
      <c r="E25" s="22" t="s">
        <v>1921</v>
      </c>
      <c r="F25" s="22" t="s">
        <v>1818</v>
      </c>
      <c r="G25" s="22" t="s">
        <v>165</v>
      </c>
      <c r="H25" s="26" t="s">
        <v>73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1819</v>
      </c>
    </row>
    <row r="26" ht="24" customHeight="1" spans="1:17" x14ac:dyDescent="0.25">
      <c r="A26" s="21" t="s">
        <v>1922</v>
      </c>
      <c r="B26" s="22" t="s">
        <v>26</v>
      </c>
      <c r="C26" s="22" t="s">
        <v>1919</v>
      </c>
      <c r="D26" s="22" t="s">
        <v>1923</v>
      </c>
      <c r="E26" s="22" t="s">
        <v>1924</v>
      </c>
      <c r="F26" s="22" t="s">
        <v>1823</v>
      </c>
      <c r="G26" s="22" t="s">
        <v>1165</v>
      </c>
      <c r="H26" s="23" t="s">
        <v>63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1824</v>
      </c>
    </row>
    <row r="27" ht="24" customHeight="1" spans="1:17" x14ac:dyDescent="0.25">
      <c r="A27" s="21" t="s">
        <v>1925</v>
      </c>
      <c r="B27" s="22" t="s">
        <v>26</v>
      </c>
      <c r="C27" s="22" t="s">
        <v>1919</v>
      </c>
      <c r="D27" s="22" t="s">
        <v>1926</v>
      </c>
      <c r="E27" s="22" t="s">
        <v>1927</v>
      </c>
      <c r="F27" s="22" t="s">
        <v>1828</v>
      </c>
      <c r="G27" s="22" t="s">
        <v>1829</v>
      </c>
      <c r="H27" s="26" t="s">
        <v>73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1830</v>
      </c>
    </row>
    <row r="28" ht="24" customHeight="1" spans="1:17" x14ac:dyDescent="0.25">
      <c r="A28" s="21" t="s">
        <v>1928</v>
      </c>
      <c r="B28" s="22" t="s">
        <v>26</v>
      </c>
      <c r="C28" s="22" t="s">
        <v>1919</v>
      </c>
      <c r="D28" s="22" t="s">
        <v>1929</v>
      </c>
      <c r="E28" s="22" t="s">
        <v>1930</v>
      </c>
      <c r="F28" s="22" t="s">
        <v>1834</v>
      </c>
      <c r="G28" s="22" t="s">
        <v>1835</v>
      </c>
      <c r="H28" s="26" t="s">
        <v>73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1836</v>
      </c>
    </row>
    <row r="29" ht="24" customHeight="1" spans="1:17" x14ac:dyDescent="0.25">
      <c r="A29" s="21" t="s">
        <v>1931</v>
      </c>
      <c r="B29" s="22" t="s">
        <v>26</v>
      </c>
      <c r="C29" s="22" t="s">
        <v>1919</v>
      </c>
      <c r="D29" s="22" t="s">
        <v>1932</v>
      </c>
      <c r="E29" s="22" t="s">
        <v>1933</v>
      </c>
      <c r="F29" s="22" t="s">
        <v>1840</v>
      </c>
      <c r="G29" s="22" t="s">
        <v>1829</v>
      </c>
      <c r="H29" s="23" t="s">
        <v>63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1841</v>
      </c>
    </row>
    <row r="30" ht="24" customHeight="1" spans="1:17" x14ac:dyDescent="0.25">
      <c r="A30" s="21" t="s">
        <v>1934</v>
      </c>
      <c r="B30" s="22" t="s">
        <v>26</v>
      </c>
      <c r="C30" s="22" t="s">
        <v>1919</v>
      </c>
      <c r="D30" s="22" t="s">
        <v>1935</v>
      </c>
      <c r="E30" s="22" t="s">
        <v>1936</v>
      </c>
      <c r="F30" s="22" t="s">
        <v>1845</v>
      </c>
      <c r="G30" s="22" t="s">
        <v>1829</v>
      </c>
      <c r="H30" s="23" t="s">
        <v>63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1846</v>
      </c>
    </row>
    <row r="31" ht="24" customHeight="1" spans="1:17" x14ac:dyDescent="0.25">
      <c r="A31" s="21" t="s">
        <v>1937</v>
      </c>
      <c r="B31" s="22" t="s">
        <v>26</v>
      </c>
      <c r="C31" s="22" t="s">
        <v>1919</v>
      </c>
      <c r="D31" s="22" t="s">
        <v>1938</v>
      </c>
      <c r="E31" s="22" t="s">
        <v>1939</v>
      </c>
      <c r="F31" s="22" t="s">
        <v>1850</v>
      </c>
      <c r="G31" s="22" t="s">
        <v>79</v>
      </c>
      <c r="H31" s="26" t="s">
        <v>73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1851</v>
      </c>
    </row>
    <row r="32" ht="24" customHeight="1" spans="1:17" x14ac:dyDescent="0.25">
      <c r="A32" s="21" t="s">
        <v>1940</v>
      </c>
      <c r="B32" s="22" t="s">
        <v>26</v>
      </c>
      <c r="C32" s="22" t="s">
        <v>1919</v>
      </c>
      <c r="D32" s="22" t="s">
        <v>1941</v>
      </c>
      <c r="E32" s="22" t="s">
        <v>1942</v>
      </c>
      <c r="F32" s="22" t="s">
        <v>1855</v>
      </c>
      <c r="G32" s="22" t="s">
        <v>1856</v>
      </c>
      <c r="H32" s="23" t="s">
        <v>63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1857</v>
      </c>
    </row>
    <row r="33" ht="24" customHeight="1" spans="1:17" x14ac:dyDescent="0.25">
      <c r="A33" s="21" t="s">
        <v>1943</v>
      </c>
      <c r="B33" s="22" t="s">
        <v>26</v>
      </c>
      <c r="C33" s="22" t="s">
        <v>1919</v>
      </c>
      <c r="D33" s="22" t="s">
        <v>1944</v>
      </c>
      <c r="E33" s="22" t="s">
        <v>1945</v>
      </c>
      <c r="F33" s="22" t="s">
        <v>1861</v>
      </c>
      <c r="G33" s="22" t="s">
        <v>79</v>
      </c>
      <c r="H33" s="26" t="s">
        <v>73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1862</v>
      </c>
    </row>
    <row r="34" ht="24" customHeight="1" spans="1:17" x14ac:dyDescent="0.25">
      <c r="A34" s="21" t="s">
        <v>1946</v>
      </c>
      <c r="B34" s="22" t="s">
        <v>26</v>
      </c>
      <c r="C34" s="22" t="s">
        <v>1919</v>
      </c>
      <c r="D34" s="22" t="s">
        <v>1947</v>
      </c>
      <c r="E34" s="22" t="s">
        <v>1948</v>
      </c>
      <c r="F34" s="22" t="s">
        <v>1866</v>
      </c>
      <c r="G34" s="22" t="s">
        <v>85</v>
      </c>
      <c r="H34" s="23" t="s">
        <v>63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1867</v>
      </c>
    </row>
    <row r="35" ht="24" customHeight="1" spans="1:17" x14ac:dyDescent="0.25">
      <c r="A35" s="21" t="s">
        <v>1949</v>
      </c>
      <c r="B35" s="22" t="s">
        <v>26</v>
      </c>
      <c r="C35" s="22" t="s">
        <v>1919</v>
      </c>
      <c r="D35" s="22" t="s">
        <v>1950</v>
      </c>
      <c r="E35" s="22" t="s">
        <v>1951</v>
      </c>
      <c r="F35" s="22" t="s">
        <v>1871</v>
      </c>
      <c r="G35" s="22" t="s">
        <v>62</v>
      </c>
      <c r="H35" s="23" t="s">
        <v>63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1872</v>
      </c>
    </row>
    <row r="36" ht="24" customHeight="1" spans="1:17" x14ac:dyDescent="0.25">
      <c r="A36" s="21" t="s">
        <v>1952</v>
      </c>
      <c r="B36" s="22" t="s">
        <v>26</v>
      </c>
      <c r="C36" s="22" t="s">
        <v>1919</v>
      </c>
      <c r="D36" s="22" t="s">
        <v>1953</v>
      </c>
      <c r="E36" s="22" t="s">
        <v>1954</v>
      </c>
      <c r="F36" s="22" t="s">
        <v>1876</v>
      </c>
      <c r="G36" s="22" t="s">
        <v>165</v>
      </c>
      <c r="H36" s="23" t="s">
        <v>63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1877</v>
      </c>
    </row>
    <row r="37" ht="24" customHeight="1" spans="1:17" x14ac:dyDescent="0.25">
      <c r="A37" s="21" t="s">
        <v>1955</v>
      </c>
      <c r="B37" s="22" t="s">
        <v>26</v>
      </c>
      <c r="C37" s="22" t="s">
        <v>1919</v>
      </c>
      <c r="D37" s="22" t="s">
        <v>1956</v>
      </c>
      <c r="E37" s="22" t="s">
        <v>1957</v>
      </c>
      <c r="F37" s="22" t="s">
        <v>1881</v>
      </c>
      <c r="G37" s="22" t="s">
        <v>165</v>
      </c>
      <c r="H37" s="23" t="s">
        <v>63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1882</v>
      </c>
    </row>
    <row r="38" ht="24" customHeight="1" spans="1:17" x14ac:dyDescent="0.25">
      <c r="A38" s="21" t="s">
        <v>1958</v>
      </c>
      <c r="B38" s="22" t="s">
        <v>26</v>
      </c>
      <c r="C38" s="22" t="s">
        <v>1919</v>
      </c>
      <c r="D38" s="22" t="s">
        <v>1959</v>
      </c>
      <c r="E38" s="22" t="s">
        <v>1960</v>
      </c>
      <c r="F38" s="22" t="s">
        <v>1886</v>
      </c>
      <c r="G38" s="22" t="s">
        <v>1829</v>
      </c>
      <c r="H38" s="23" t="s">
        <v>63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1887</v>
      </c>
    </row>
    <row r="39" ht="24" customHeight="1" spans="1:17" x14ac:dyDescent="0.25">
      <c r="A39" s="21" t="s">
        <v>1961</v>
      </c>
      <c r="B39" s="22" t="s">
        <v>26</v>
      </c>
      <c r="C39" s="22" t="s">
        <v>1919</v>
      </c>
      <c r="D39" s="22" t="s">
        <v>1962</v>
      </c>
      <c r="E39" s="22" t="s">
        <v>1963</v>
      </c>
      <c r="F39" s="22" t="s">
        <v>1891</v>
      </c>
      <c r="G39" s="22" t="s">
        <v>165</v>
      </c>
      <c r="H39" s="9" t="s">
        <v>101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1892</v>
      </c>
    </row>
    <row r="40" ht="24" customHeight="1" spans="1:17" x14ac:dyDescent="0.25">
      <c r="A40" s="21" t="s">
        <v>1964</v>
      </c>
      <c r="B40" s="22" t="s">
        <v>26</v>
      </c>
      <c r="C40" s="22" t="s">
        <v>1919</v>
      </c>
      <c r="D40" s="22" t="s">
        <v>1965</v>
      </c>
      <c r="E40" s="22" t="s">
        <v>1966</v>
      </c>
      <c r="F40" s="22" t="s">
        <v>1896</v>
      </c>
      <c r="G40" s="22" t="s">
        <v>85</v>
      </c>
      <c r="H40" s="23" t="s">
        <v>63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1897</v>
      </c>
    </row>
    <row r="41" ht="24" customHeight="1" spans="1:17" x14ac:dyDescent="0.25">
      <c r="A41" s="21" t="s">
        <v>1967</v>
      </c>
      <c r="B41" s="22" t="s">
        <v>26</v>
      </c>
      <c r="C41" s="22" t="s">
        <v>1919</v>
      </c>
      <c r="D41" s="22" t="s">
        <v>1968</v>
      </c>
      <c r="E41" s="22" t="s">
        <v>1969</v>
      </c>
      <c r="F41" s="22" t="s">
        <v>1901</v>
      </c>
      <c r="G41" s="22" t="s">
        <v>1829</v>
      </c>
      <c r="H41" s="23" t="s">
        <v>63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1902</v>
      </c>
    </row>
    <row r="42" ht="24" customHeight="1" spans="1:17" x14ac:dyDescent="0.25">
      <c r="A42" s="21" t="s">
        <v>1970</v>
      </c>
      <c r="B42" s="22" t="s">
        <v>26</v>
      </c>
      <c r="C42" s="22" t="s">
        <v>1919</v>
      </c>
      <c r="D42" s="22" t="s">
        <v>1971</v>
      </c>
      <c r="E42" s="22" t="s">
        <v>1972</v>
      </c>
      <c r="F42" s="22" t="s">
        <v>1906</v>
      </c>
      <c r="G42" s="22" t="s">
        <v>1829</v>
      </c>
      <c r="H42" s="23" t="s">
        <v>63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1907</v>
      </c>
    </row>
    <row r="43" ht="24" customHeight="1" spans="1:17" x14ac:dyDescent="0.25">
      <c r="A43" s="21" t="s">
        <v>1973</v>
      </c>
      <c r="B43" s="22" t="s">
        <v>26</v>
      </c>
      <c r="C43" s="22" t="s">
        <v>1919</v>
      </c>
      <c r="D43" s="22" t="s">
        <v>1974</v>
      </c>
      <c r="E43" s="22" t="s">
        <v>1975</v>
      </c>
      <c r="F43" s="22" t="s">
        <v>1911</v>
      </c>
      <c r="G43" s="22" t="s">
        <v>1829</v>
      </c>
      <c r="H43" s="9" t="s">
        <v>101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1912</v>
      </c>
    </row>
    <row r="44" ht="24" customHeight="1" spans="1:17" x14ac:dyDescent="0.25">
      <c r="A44" s="21" t="s">
        <v>1976</v>
      </c>
      <c r="B44" s="22" t="s">
        <v>26</v>
      </c>
      <c r="C44" s="22" t="s">
        <v>1919</v>
      </c>
      <c r="D44" s="22" t="s">
        <v>1977</v>
      </c>
      <c r="E44" s="22" t="s">
        <v>1978</v>
      </c>
      <c r="F44" s="22" t="s">
        <v>1916</v>
      </c>
      <c r="G44" s="22" t="s">
        <v>85</v>
      </c>
      <c r="H44" s="23" t="s">
        <v>63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1917</v>
      </c>
    </row>
    <row r="45" ht="24" customHeight="1" spans="1:17" x14ac:dyDescent="0.25">
      <c r="A45" s="21" t="s">
        <v>1979</v>
      </c>
      <c r="B45" s="22" t="s">
        <v>26</v>
      </c>
      <c r="C45" s="22" t="s">
        <v>1980</v>
      </c>
      <c r="D45" s="22" t="s">
        <v>1981</v>
      </c>
      <c r="E45" s="22" t="s">
        <v>1982</v>
      </c>
      <c r="F45" s="22" t="s">
        <v>1818</v>
      </c>
      <c r="G45" s="22" t="s">
        <v>165</v>
      </c>
      <c r="H45" s="26" t="s">
        <v>73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1819</v>
      </c>
    </row>
    <row r="46" ht="24" customHeight="1" spans="1:17" x14ac:dyDescent="0.25">
      <c r="A46" s="21" t="s">
        <v>1983</v>
      </c>
      <c r="B46" s="22" t="s">
        <v>26</v>
      </c>
      <c r="C46" s="22" t="s">
        <v>1980</v>
      </c>
      <c r="D46" s="22" t="s">
        <v>1984</v>
      </c>
      <c r="E46" s="22" t="s">
        <v>1985</v>
      </c>
      <c r="F46" s="22" t="s">
        <v>1823</v>
      </c>
      <c r="G46" s="22" t="s">
        <v>1165</v>
      </c>
      <c r="H46" s="23" t="s">
        <v>63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1824</v>
      </c>
    </row>
    <row r="47" ht="24" customHeight="1" spans="1:17" x14ac:dyDescent="0.25">
      <c r="A47" s="21" t="s">
        <v>1986</v>
      </c>
      <c r="B47" s="22" t="s">
        <v>26</v>
      </c>
      <c r="C47" s="22" t="s">
        <v>1980</v>
      </c>
      <c r="D47" s="22" t="s">
        <v>1987</v>
      </c>
      <c r="E47" s="22" t="s">
        <v>1988</v>
      </c>
      <c r="F47" s="22" t="s">
        <v>1828</v>
      </c>
      <c r="G47" s="22" t="s">
        <v>1829</v>
      </c>
      <c r="H47" s="26" t="s">
        <v>73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1830</v>
      </c>
    </row>
    <row r="48" ht="24" customHeight="1" spans="1:17" x14ac:dyDescent="0.25">
      <c r="A48" s="21" t="s">
        <v>1989</v>
      </c>
      <c r="B48" s="22" t="s">
        <v>26</v>
      </c>
      <c r="C48" s="22" t="s">
        <v>1980</v>
      </c>
      <c r="D48" s="22" t="s">
        <v>1990</v>
      </c>
      <c r="E48" s="22" t="s">
        <v>1991</v>
      </c>
      <c r="F48" s="22" t="s">
        <v>1834</v>
      </c>
      <c r="G48" s="22" t="s">
        <v>1835</v>
      </c>
      <c r="H48" s="26" t="s">
        <v>73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1836</v>
      </c>
    </row>
    <row r="49" ht="24" customHeight="1" spans="1:17" x14ac:dyDescent="0.25">
      <c r="A49" s="21" t="s">
        <v>1992</v>
      </c>
      <c r="B49" s="22" t="s">
        <v>26</v>
      </c>
      <c r="C49" s="22" t="s">
        <v>1980</v>
      </c>
      <c r="D49" s="22" t="s">
        <v>1993</v>
      </c>
      <c r="E49" s="22" t="s">
        <v>1994</v>
      </c>
      <c r="F49" s="22" t="s">
        <v>1840</v>
      </c>
      <c r="G49" s="22" t="s">
        <v>1829</v>
      </c>
      <c r="H49" s="23" t="s">
        <v>63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1841</v>
      </c>
    </row>
    <row r="50" ht="24" customHeight="1" spans="1:17" x14ac:dyDescent="0.25">
      <c r="A50" s="21" t="s">
        <v>1995</v>
      </c>
      <c r="B50" s="22" t="s">
        <v>26</v>
      </c>
      <c r="C50" s="22" t="s">
        <v>1980</v>
      </c>
      <c r="D50" s="22" t="s">
        <v>1996</v>
      </c>
      <c r="E50" s="22" t="s">
        <v>1997</v>
      </c>
      <c r="F50" s="22" t="s">
        <v>1845</v>
      </c>
      <c r="G50" s="22" t="s">
        <v>1829</v>
      </c>
      <c r="H50" s="23" t="s">
        <v>63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1846</v>
      </c>
    </row>
    <row r="51" ht="24" customHeight="1" spans="1:17" x14ac:dyDescent="0.25">
      <c r="A51" s="21" t="s">
        <v>1998</v>
      </c>
      <c r="B51" s="22" t="s">
        <v>26</v>
      </c>
      <c r="C51" s="22" t="s">
        <v>1980</v>
      </c>
      <c r="D51" s="22" t="s">
        <v>1999</v>
      </c>
      <c r="E51" s="22" t="s">
        <v>2000</v>
      </c>
      <c r="F51" s="22" t="s">
        <v>1850</v>
      </c>
      <c r="G51" s="22" t="s">
        <v>79</v>
      </c>
      <c r="H51" s="26" t="s">
        <v>73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1851</v>
      </c>
    </row>
    <row r="52" ht="24" customHeight="1" spans="1:17" x14ac:dyDescent="0.25">
      <c r="A52" s="21" t="s">
        <v>2001</v>
      </c>
      <c r="B52" s="22" t="s">
        <v>26</v>
      </c>
      <c r="C52" s="22" t="s">
        <v>1980</v>
      </c>
      <c r="D52" s="22" t="s">
        <v>2002</v>
      </c>
      <c r="E52" s="22" t="s">
        <v>2003</v>
      </c>
      <c r="F52" s="22" t="s">
        <v>1855</v>
      </c>
      <c r="G52" s="22" t="s">
        <v>1856</v>
      </c>
      <c r="H52" s="23" t="s">
        <v>63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1857</v>
      </c>
    </row>
    <row r="53" ht="24" customHeight="1" spans="1:17" x14ac:dyDescent="0.25">
      <c r="A53" s="21" t="s">
        <v>2004</v>
      </c>
      <c r="B53" s="22" t="s">
        <v>26</v>
      </c>
      <c r="C53" s="22" t="s">
        <v>1980</v>
      </c>
      <c r="D53" s="22" t="s">
        <v>2005</v>
      </c>
      <c r="E53" s="22" t="s">
        <v>2006</v>
      </c>
      <c r="F53" s="22" t="s">
        <v>1861</v>
      </c>
      <c r="G53" s="22" t="s">
        <v>79</v>
      </c>
      <c r="H53" s="26" t="s">
        <v>73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1862</v>
      </c>
    </row>
    <row r="54" ht="24" customHeight="1" spans="1:17" x14ac:dyDescent="0.25">
      <c r="A54" s="21" t="s">
        <v>2007</v>
      </c>
      <c r="B54" s="22" t="s">
        <v>26</v>
      </c>
      <c r="C54" s="22" t="s">
        <v>1980</v>
      </c>
      <c r="D54" s="22" t="s">
        <v>2008</v>
      </c>
      <c r="E54" s="22" t="s">
        <v>2009</v>
      </c>
      <c r="F54" s="22" t="s">
        <v>1866</v>
      </c>
      <c r="G54" s="22" t="s">
        <v>85</v>
      </c>
      <c r="H54" s="23" t="s">
        <v>63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1867</v>
      </c>
    </row>
    <row r="55" ht="24" customHeight="1" spans="1:17" x14ac:dyDescent="0.25">
      <c r="A55" s="21" t="s">
        <v>2010</v>
      </c>
      <c r="B55" s="22" t="s">
        <v>26</v>
      </c>
      <c r="C55" s="22" t="s">
        <v>1980</v>
      </c>
      <c r="D55" s="22" t="s">
        <v>2011</v>
      </c>
      <c r="E55" s="22" t="s">
        <v>2012</v>
      </c>
      <c r="F55" s="22" t="s">
        <v>1871</v>
      </c>
      <c r="G55" s="22" t="s">
        <v>62</v>
      </c>
      <c r="H55" s="23" t="s">
        <v>63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1872</v>
      </c>
    </row>
    <row r="56" ht="24" customHeight="1" spans="1:17" x14ac:dyDescent="0.25">
      <c r="A56" s="21" t="s">
        <v>2013</v>
      </c>
      <c r="B56" s="22" t="s">
        <v>26</v>
      </c>
      <c r="C56" s="22" t="s">
        <v>1980</v>
      </c>
      <c r="D56" s="22" t="s">
        <v>2014</v>
      </c>
      <c r="E56" s="22" t="s">
        <v>2015</v>
      </c>
      <c r="F56" s="22" t="s">
        <v>1876</v>
      </c>
      <c r="G56" s="22" t="s">
        <v>165</v>
      </c>
      <c r="H56" s="23" t="s">
        <v>63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1877</v>
      </c>
    </row>
    <row r="57" ht="24" customHeight="1" spans="1:17" x14ac:dyDescent="0.25">
      <c r="A57" s="21" t="s">
        <v>2016</v>
      </c>
      <c r="B57" s="22" t="s">
        <v>26</v>
      </c>
      <c r="C57" s="22" t="s">
        <v>1980</v>
      </c>
      <c r="D57" s="22" t="s">
        <v>2017</v>
      </c>
      <c r="E57" s="22" t="s">
        <v>2018</v>
      </c>
      <c r="F57" s="22" t="s">
        <v>1881</v>
      </c>
      <c r="G57" s="22" t="s">
        <v>165</v>
      </c>
      <c r="H57" s="23" t="s">
        <v>63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1882</v>
      </c>
    </row>
    <row r="58" ht="24" customHeight="1" spans="1:17" x14ac:dyDescent="0.25">
      <c r="A58" s="21" t="s">
        <v>2019</v>
      </c>
      <c r="B58" s="22" t="s">
        <v>26</v>
      </c>
      <c r="C58" s="22" t="s">
        <v>1980</v>
      </c>
      <c r="D58" s="22" t="s">
        <v>2020</v>
      </c>
      <c r="E58" s="22" t="s">
        <v>2021</v>
      </c>
      <c r="F58" s="22" t="s">
        <v>1886</v>
      </c>
      <c r="G58" s="22" t="s">
        <v>1829</v>
      </c>
      <c r="H58" s="23" t="s">
        <v>63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1887</v>
      </c>
    </row>
    <row r="59" ht="24" customHeight="1" spans="1:17" x14ac:dyDescent="0.25">
      <c r="A59" s="21" t="s">
        <v>2022</v>
      </c>
      <c r="B59" s="22" t="s">
        <v>26</v>
      </c>
      <c r="C59" s="22" t="s">
        <v>1980</v>
      </c>
      <c r="D59" s="22" t="s">
        <v>2023</v>
      </c>
      <c r="E59" s="22" t="s">
        <v>2024</v>
      </c>
      <c r="F59" s="22" t="s">
        <v>1891</v>
      </c>
      <c r="G59" s="22" t="s">
        <v>165</v>
      </c>
      <c r="H59" s="9" t="s">
        <v>101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1892</v>
      </c>
    </row>
    <row r="60" ht="24" customHeight="1" spans="1:17" x14ac:dyDescent="0.25">
      <c r="A60" s="21" t="s">
        <v>2025</v>
      </c>
      <c r="B60" s="22" t="s">
        <v>26</v>
      </c>
      <c r="C60" s="22" t="s">
        <v>1980</v>
      </c>
      <c r="D60" s="22" t="s">
        <v>2026</v>
      </c>
      <c r="E60" s="22" t="s">
        <v>2027</v>
      </c>
      <c r="F60" s="22" t="s">
        <v>1896</v>
      </c>
      <c r="G60" s="22" t="s">
        <v>85</v>
      </c>
      <c r="H60" s="23" t="s">
        <v>63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1897</v>
      </c>
    </row>
    <row r="61" ht="24" customHeight="1" spans="1:17" x14ac:dyDescent="0.25">
      <c r="A61" s="21" t="s">
        <v>2028</v>
      </c>
      <c r="B61" s="22" t="s">
        <v>26</v>
      </c>
      <c r="C61" s="22" t="s">
        <v>1980</v>
      </c>
      <c r="D61" s="22" t="s">
        <v>2029</v>
      </c>
      <c r="E61" s="22" t="s">
        <v>2030</v>
      </c>
      <c r="F61" s="22" t="s">
        <v>1901</v>
      </c>
      <c r="G61" s="22" t="s">
        <v>1829</v>
      </c>
      <c r="H61" s="23" t="s">
        <v>63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1902</v>
      </c>
    </row>
    <row r="62" ht="24" customHeight="1" spans="1:17" x14ac:dyDescent="0.25">
      <c r="A62" s="21" t="s">
        <v>2031</v>
      </c>
      <c r="B62" s="22" t="s">
        <v>26</v>
      </c>
      <c r="C62" s="22" t="s">
        <v>1980</v>
      </c>
      <c r="D62" s="22" t="s">
        <v>2032</v>
      </c>
      <c r="E62" s="22" t="s">
        <v>2033</v>
      </c>
      <c r="F62" s="22" t="s">
        <v>1906</v>
      </c>
      <c r="G62" s="22" t="s">
        <v>1829</v>
      </c>
      <c r="H62" s="23" t="s">
        <v>63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1907</v>
      </c>
    </row>
    <row r="63" ht="24" customHeight="1" spans="1:17" x14ac:dyDescent="0.25">
      <c r="A63" s="21" t="s">
        <v>2034</v>
      </c>
      <c r="B63" s="22" t="s">
        <v>26</v>
      </c>
      <c r="C63" s="22" t="s">
        <v>1980</v>
      </c>
      <c r="D63" s="22" t="s">
        <v>2035</v>
      </c>
      <c r="E63" s="22" t="s">
        <v>2036</v>
      </c>
      <c r="F63" s="22" t="s">
        <v>1911</v>
      </c>
      <c r="G63" s="22" t="s">
        <v>1829</v>
      </c>
      <c r="H63" s="9" t="s">
        <v>101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1912</v>
      </c>
    </row>
    <row r="64" ht="24" customHeight="1" spans="1:17" x14ac:dyDescent="0.25">
      <c r="A64" s="21" t="s">
        <v>2037</v>
      </c>
      <c r="B64" s="22" t="s">
        <v>26</v>
      </c>
      <c r="C64" s="22" t="s">
        <v>1980</v>
      </c>
      <c r="D64" s="22" t="s">
        <v>2038</v>
      </c>
      <c r="E64" s="22" t="s">
        <v>2039</v>
      </c>
      <c r="F64" s="22" t="s">
        <v>1916</v>
      </c>
      <c r="G64" s="22" t="s">
        <v>85</v>
      </c>
      <c r="H64" s="23" t="s">
        <v>63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1917</v>
      </c>
    </row>
    <row r="65" ht="24" customHeight="1" spans="1:17" x14ac:dyDescent="0.25">
      <c r="A65" s="21" t="s">
        <v>2040</v>
      </c>
      <c r="B65" s="22" t="s">
        <v>26</v>
      </c>
      <c r="C65" s="22" t="s">
        <v>2041</v>
      </c>
      <c r="D65" s="22" t="s">
        <v>2042</v>
      </c>
      <c r="E65" s="22" t="s">
        <v>2043</v>
      </c>
      <c r="F65" s="22" t="s">
        <v>1818</v>
      </c>
      <c r="G65" s="22" t="s">
        <v>165</v>
      </c>
      <c r="H65" s="26" t="s">
        <v>73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1819</v>
      </c>
    </row>
    <row r="66" ht="24" customHeight="1" spans="1:17" x14ac:dyDescent="0.25">
      <c r="A66" s="21" t="s">
        <v>2044</v>
      </c>
      <c r="B66" s="22" t="s">
        <v>26</v>
      </c>
      <c r="C66" s="22" t="s">
        <v>2041</v>
      </c>
      <c r="D66" s="22" t="s">
        <v>2045</v>
      </c>
      <c r="E66" s="22" t="s">
        <v>2046</v>
      </c>
      <c r="F66" s="22" t="s">
        <v>1823</v>
      </c>
      <c r="G66" s="22" t="s">
        <v>1165</v>
      </c>
      <c r="H66" s="23" t="s">
        <v>63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1824</v>
      </c>
    </row>
    <row r="67" ht="24" customHeight="1" spans="1:17" x14ac:dyDescent="0.25">
      <c r="A67" s="21" t="s">
        <v>2047</v>
      </c>
      <c r="B67" s="22" t="s">
        <v>26</v>
      </c>
      <c r="C67" s="22" t="s">
        <v>2041</v>
      </c>
      <c r="D67" s="22" t="s">
        <v>2048</v>
      </c>
      <c r="E67" s="22" t="s">
        <v>2049</v>
      </c>
      <c r="F67" s="22" t="s">
        <v>1828</v>
      </c>
      <c r="G67" s="22" t="s">
        <v>1829</v>
      </c>
      <c r="H67" s="26" t="s">
        <v>73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1830</v>
      </c>
    </row>
    <row r="68" ht="24" customHeight="1" spans="1:17" x14ac:dyDescent="0.25">
      <c r="A68" s="21" t="s">
        <v>2050</v>
      </c>
      <c r="B68" s="22" t="s">
        <v>26</v>
      </c>
      <c r="C68" s="22" t="s">
        <v>2041</v>
      </c>
      <c r="D68" s="22" t="s">
        <v>2051</v>
      </c>
      <c r="E68" s="22" t="s">
        <v>2052</v>
      </c>
      <c r="F68" s="22" t="s">
        <v>1834</v>
      </c>
      <c r="G68" s="22" t="s">
        <v>1835</v>
      </c>
      <c r="H68" s="26" t="s">
        <v>73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1836</v>
      </c>
    </row>
    <row r="69" ht="24" customHeight="1" spans="1:17" x14ac:dyDescent="0.25">
      <c r="A69" s="21" t="s">
        <v>2053</v>
      </c>
      <c r="B69" s="22" t="s">
        <v>26</v>
      </c>
      <c r="C69" s="22" t="s">
        <v>2041</v>
      </c>
      <c r="D69" s="22" t="s">
        <v>2054</v>
      </c>
      <c r="E69" s="22" t="s">
        <v>2055</v>
      </c>
      <c r="F69" s="22" t="s">
        <v>1840</v>
      </c>
      <c r="G69" s="22" t="s">
        <v>1829</v>
      </c>
      <c r="H69" s="23" t="s">
        <v>63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1841</v>
      </c>
    </row>
    <row r="70" ht="24" customHeight="1" spans="1:17" x14ac:dyDescent="0.25">
      <c r="A70" s="21" t="s">
        <v>2056</v>
      </c>
      <c r="B70" s="22" t="s">
        <v>26</v>
      </c>
      <c r="C70" s="22" t="s">
        <v>2041</v>
      </c>
      <c r="D70" s="22" t="s">
        <v>2057</v>
      </c>
      <c r="E70" s="22" t="s">
        <v>2058</v>
      </c>
      <c r="F70" s="22" t="s">
        <v>1845</v>
      </c>
      <c r="G70" s="22" t="s">
        <v>1829</v>
      </c>
      <c r="H70" s="23" t="s">
        <v>63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1846</v>
      </c>
    </row>
    <row r="71" ht="24" customHeight="1" spans="1:17" x14ac:dyDescent="0.25">
      <c r="A71" s="21" t="s">
        <v>2059</v>
      </c>
      <c r="B71" s="22" t="s">
        <v>26</v>
      </c>
      <c r="C71" s="22" t="s">
        <v>2041</v>
      </c>
      <c r="D71" s="22" t="s">
        <v>2060</v>
      </c>
      <c r="E71" s="22" t="s">
        <v>2061</v>
      </c>
      <c r="F71" s="22" t="s">
        <v>1850</v>
      </c>
      <c r="G71" s="22" t="s">
        <v>79</v>
      </c>
      <c r="H71" s="26" t="s">
        <v>73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1851</v>
      </c>
    </row>
    <row r="72" ht="24" customHeight="1" spans="1:17" x14ac:dyDescent="0.25">
      <c r="A72" s="21" t="s">
        <v>2062</v>
      </c>
      <c r="B72" s="22" t="s">
        <v>26</v>
      </c>
      <c r="C72" s="22" t="s">
        <v>2041</v>
      </c>
      <c r="D72" s="22" t="s">
        <v>2063</v>
      </c>
      <c r="E72" s="22" t="s">
        <v>2064</v>
      </c>
      <c r="F72" s="22" t="s">
        <v>1855</v>
      </c>
      <c r="G72" s="22" t="s">
        <v>1856</v>
      </c>
      <c r="H72" s="23" t="s">
        <v>63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1857</v>
      </c>
    </row>
    <row r="73" ht="24" customHeight="1" spans="1:17" x14ac:dyDescent="0.25">
      <c r="A73" s="21" t="s">
        <v>2065</v>
      </c>
      <c r="B73" s="22" t="s">
        <v>26</v>
      </c>
      <c r="C73" s="22" t="s">
        <v>2041</v>
      </c>
      <c r="D73" s="22" t="s">
        <v>2066</v>
      </c>
      <c r="E73" s="22" t="s">
        <v>2067</v>
      </c>
      <c r="F73" s="22" t="s">
        <v>1861</v>
      </c>
      <c r="G73" s="22" t="s">
        <v>79</v>
      </c>
      <c r="H73" s="26" t="s">
        <v>73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1862</v>
      </c>
    </row>
    <row r="74" ht="24" customHeight="1" spans="1:17" x14ac:dyDescent="0.25">
      <c r="A74" s="21" t="s">
        <v>2068</v>
      </c>
      <c r="B74" s="22" t="s">
        <v>26</v>
      </c>
      <c r="C74" s="22" t="s">
        <v>2041</v>
      </c>
      <c r="D74" s="22" t="s">
        <v>2069</v>
      </c>
      <c r="E74" s="22" t="s">
        <v>2070</v>
      </c>
      <c r="F74" s="22" t="s">
        <v>1866</v>
      </c>
      <c r="G74" s="22" t="s">
        <v>85</v>
      </c>
      <c r="H74" s="23" t="s">
        <v>63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1867</v>
      </c>
    </row>
    <row r="75" ht="24" customHeight="1" spans="1:17" x14ac:dyDescent="0.25">
      <c r="A75" s="21" t="s">
        <v>2071</v>
      </c>
      <c r="B75" s="22" t="s">
        <v>26</v>
      </c>
      <c r="C75" s="22" t="s">
        <v>2041</v>
      </c>
      <c r="D75" s="22" t="s">
        <v>2072</v>
      </c>
      <c r="E75" s="22" t="s">
        <v>2073</v>
      </c>
      <c r="F75" s="22" t="s">
        <v>1871</v>
      </c>
      <c r="G75" s="22" t="s">
        <v>62</v>
      </c>
      <c r="H75" s="23" t="s">
        <v>63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1872</v>
      </c>
    </row>
    <row r="76" ht="24" customHeight="1" spans="1:17" x14ac:dyDescent="0.25">
      <c r="A76" s="21" t="s">
        <v>2074</v>
      </c>
      <c r="B76" s="22" t="s">
        <v>26</v>
      </c>
      <c r="C76" s="22" t="s">
        <v>2041</v>
      </c>
      <c r="D76" s="22" t="s">
        <v>2075</v>
      </c>
      <c r="E76" s="22" t="s">
        <v>2076</v>
      </c>
      <c r="F76" s="22" t="s">
        <v>1876</v>
      </c>
      <c r="G76" s="22" t="s">
        <v>165</v>
      </c>
      <c r="H76" s="23" t="s">
        <v>63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1877</v>
      </c>
    </row>
    <row r="77" ht="24" customHeight="1" spans="1:17" x14ac:dyDescent="0.25">
      <c r="A77" s="21" t="s">
        <v>2077</v>
      </c>
      <c r="B77" s="22" t="s">
        <v>26</v>
      </c>
      <c r="C77" s="22" t="s">
        <v>2041</v>
      </c>
      <c r="D77" s="22" t="s">
        <v>2078</v>
      </c>
      <c r="E77" s="22" t="s">
        <v>2079</v>
      </c>
      <c r="F77" s="22" t="s">
        <v>1881</v>
      </c>
      <c r="G77" s="22" t="s">
        <v>165</v>
      </c>
      <c r="H77" s="23" t="s">
        <v>63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1882</v>
      </c>
    </row>
    <row r="78" ht="24" customHeight="1" spans="1:17" x14ac:dyDescent="0.25">
      <c r="A78" s="21" t="s">
        <v>2080</v>
      </c>
      <c r="B78" s="22" t="s">
        <v>26</v>
      </c>
      <c r="C78" s="22" t="s">
        <v>2041</v>
      </c>
      <c r="D78" s="22" t="s">
        <v>2081</v>
      </c>
      <c r="E78" s="22" t="s">
        <v>2082</v>
      </c>
      <c r="F78" s="22" t="s">
        <v>1886</v>
      </c>
      <c r="G78" s="22" t="s">
        <v>1829</v>
      </c>
      <c r="H78" s="23" t="s">
        <v>63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1887</v>
      </c>
    </row>
    <row r="79" ht="24" customHeight="1" spans="1:17" x14ac:dyDescent="0.25">
      <c r="A79" s="21" t="s">
        <v>2083</v>
      </c>
      <c r="B79" s="22" t="s">
        <v>26</v>
      </c>
      <c r="C79" s="22" t="s">
        <v>2041</v>
      </c>
      <c r="D79" s="22" t="s">
        <v>2084</v>
      </c>
      <c r="E79" s="22" t="s">
        <v>2085</v>
      </c>
      <c r="F79" s="22" t="s">
        <v>1891</v>
      </c>
      <c r="G79" s="22" t="s">
        <v>165</v>
      </c>
      <c r="H79" s="9" t="s">
        <v>101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1892</v>
      </c>
    </row>
    <row r="80" ht="24" customHeight="1" spans="1:17" x14ac:dyDescent="0.25">
      <c r="A80" s="21" t="s">
        <v>2086</v>
      </c>
      <c r="B80" s="22" t="s">
        <v>26</v>
      </c>
      <c r="C80" s="22" t="s">
        <v>2041</v>
      </c>
      <c r="D80" s="22" t="s">
        <v>2087</v>
      </c>
      <c r="E80" s="22" t="s">
        <v>2088</v>
      </c>
      <c r="F80" s="22" t="s">
        <v>1896</v>
      </c>
      <c r="G80" s="22" t="s">
        <v>85</v>
      </c>
      <c r="H80" s="23" t="s">
        <v>63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1897</v>
      </c>
    </row>
    <row r="81" ht="24" customHeight="1" spans="1:17" x14ac:dyDescent="0.25">
      <c r="A81" s="21" t="s">
        <v>2089</v>
      </c>
      <c r="B81" s="22" t="s">
        <v>26</v>
      </c>
      <c r="C81" s="22" t="s">
        <v>2041</v>
      </c>
      <c r="D81" s="22" t="s">
        <v>2090</v>
      </c>
      <c r="E81" s="22" t="s">
        <v>2091</v>
      </c>
      <c r="F81" s="22" t="s">
        <v>1901</v>
      </c>
      <c r="G81" s="22" t="s">
        <v>1829</v>
      </c>
      <c r="H81" s="23" t="s">
        <v>63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1902</v>
      </c>
    </row>
    <row r="82" ht="24" customHeight="1" spans="1:17" x14ac:dyDescent="0.25">
      <c r="A82" s="21" t="s">
        <v>2092</v>
      </c>
      <c r="B82" s="22" t="s">
        <v>26</v>
      </c>
      <c r="C82" s="22" t="s">
        <v>2041</v>
      </c>
      <c r="D82" s="22" t="s">
        <v>2093</v>
      </c>
      <c r="E82" s="22" t="s">
        <v>2094</v>
      </c>
      <c r="F82" s="22" t="s">
        <v>1906</v>
      </c>
      <c r="G82" s="22" t="s">
        <v>1829</v>
      </c>
      <c r="H82" s="23" t="s">
        <v>63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1907</v>
      </c>
    </row>
    <row r="83" ht="24" customHeight="1" spans="1:17" x14ac:dyDescent="0.25">
      <c r="A83" s="21" t="s">
        <v>2095</v>
      </c>
      <c r="B83" s="22" t="s">
        <v>26</v>
      </c>
      <c r="C83" s="22" t="s">
        <v>2041</v>
      </c>
      <c r="D83" s="22" t="s">
        <v>2096</v>
      </c>
      <c r="E83" s="22" t="s">
        <v>2097</v>
      </c>
      <c r="F83" s="22" t="s">
        <v>1911</v>
      </c>
      <c r="G83" s="22" t="s">
        <v>1829</v>
      </c>
      <c r="H83" s="9" t="s">
        <v>101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1912</v>
      </c>
    </row>
    <row r="84" ht="24" customHeight="1" spans="1:17" x14ac:dyDescent="0.25">
      <c r="A84" s="21" t="s">
        <v>2098</v>
      </c>
      <c r="B84" s="22" t="s">
        <v>26</v>
      </c>
      <c r="C84" s="22" t="s">
        <v>2041</v>
      </c>
      <c r="D84" s="22" t="s">
        <v>2099</v>
      </c>
      <c r="E84" s="22" t="s">
        <v>2100</v>
      </c>
      <c r="F84" s="22" t="s">
        <v>1916</v>
      </c>
      <c r="G84" s="22" t="s">
        <v>85</v>
      </c>
      <c r="H84" s="23" t="s">
        <v>63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1917</v>
      </c>
    </row>
    <row r="85" ht="24" customHeight="1" spans="1:17" x14ac:dyDescent="0.25">
      <c r="A85" s="21" t="s">
        <v>2101</v>
      </c>
      <c r="B85" s="22" t="s">
        <v>26</v>
      </c>
      <c r="C85" s="22" t="s">
        <v>2102</v>
      </c>
      <c r="D85" s="22" t="s">
        <v>2103</v>
      </c>
      <c r="E85" s="22" t="s">
        <v>2104</v>
      </c>
      <c r="F85" s="22" t="s">
        <v>1818</v>
      </c>
      <c r="G85" s="22" t="s">
        <v>165</v>
      </c>
      <c r="H85" s="26" t="s">
        <v>73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1819</v>
      </c>
    </row>
    <row r="86" ht="24" customHeight="1" spans="1:17" x14ac:dyDescent="0.25">
      <c r="A86" s="21" t="s">
        <v>2105</v>
      </c>
      <c r="B86" s="22" t="s">
        <v>26</v>
      </c>
      <c r="C86" s="22" t="s">
        <v>2102</v>
      </c>
      <c r="D86" s="22" t="s">
        <v>2106</v>
      </c>
      <c r="E86" s="22" t="s">
        <v>2107</v>
      </c>
      <c r="F86" s="22" t="s">
        <v>1823</v>
      </c>
      <c r="G86" s="22" t="s">
        <v>1165</v>
      </c>
      <c r="H86" s="23" t="s">
        <v>63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1824</v>
      </c>
    </row>
    <row r="87" ht="24" customHeight="1" spans="1:17" x14ac:dyDescent="0.25">
      <c r="A87" s="21" t="s">
        <v>2108</v>
      </c>
      <c r="B87" s="22" t="s">
        <v>26</v>
      </c>
      <c r="C87" s="22" t="s">
        <v>2102</v>
      </c>
      <c r="D87" s="22" t="s">
        <v>2109</v>
      </c>
      <c r="E87" s="22" t="s">
        <v>2110</v>
      </c>
      <c r="F87" s="22" t="s">
        <v>1828</v>
      </c>
      <c r="G87" s="22" t="s">
        <v>1829</v>
      </c>
      <c r="H87" s="26" t="s">
        <v>73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1830</v>
      </c>
    </row>
    <row r="88" ht="24" customHeight="1" spans="1:17" x14ac:dyDescent="0.25">
      <c r="A88" s="21" t="s">
        <v>2111</v>
      </c>
      <c r="B88" s="22" t="s">
        <v>26</v>
      </c>
      <c r="C88" s="22" t="s">
        <v>2102</v>
      </c>
      <c r="D88" s="22" t="s">
        <v>2112</v>
      </c>
      <c r="E88" s="22" t="s">
        <v>2113</v>
      </c>
      <c r="F88" s="22" t="s">
        <v>1834</v>
      </c>
      <c r="G88" s="22" t="s">
        <v>1835</v>
      </c>
      <c r="H88" s="26" t="s">
        <v>73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1836</v>
      </c>
    </row>
    <row r="89" ht="24" customHeight="1" spans="1:17" x14ac:dyDescent="0.25">
      <c r="A89" s="21" t="s">
        <v>2114</v>
      </c>
      <c r="B89" s="22" t="s">
        <v>26</v>
      </c>
      <c r="C89" s="22" t="s">
        <v>2102</v>
      </c>
      <c r="D89" s="22" t="s">
        <v>2115</v>
      </c>
      <c r="E89" s="22" t="s">
        <v>2116</v>
      </c>
      <c r="F89" s="22" t="s">
        <v>1840</v>
      </c>
      <c r="G89" s="22" t="s">
        <v>1829</v>
      </c>
      <c r="H89" s="23" t="s">
        <v>63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1841</v>
      </c>
    </row>
    <row r="90" ht="24" customHeight="1" spans="1:17" x14ac:dyDescent="0.25">
      <c r="A90" s="21" t="s">
        <v>2117</v>
      </c>
      <c r="B90" s="22" t="s">
        <v>26</v>
      </c>
      <c r="C90" s="22" t="s">
        <v>2102</v>
      </c>
      <c r="D90" s="22" t="s">
        <v>2118</v>
      </c>
      <c r="E90" s="22" t="s">
        <v>2119</v>
      </c>
      <c r="F90" s="22" t="s">
        <v>1845</v>
      </c>
      <c r="G90" s="22" t="s">
        <v>1829</v>
      </c>
      <c r="H90" s="23" t="s">
        <v>63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1846</v>
      </c>
    </row>
    <row r="91" ht="24" customHeight="1" spans="1:17" x14ac:dyDescent="0.25">
      <c r="A91" s="21" t="s">
        <v>2120</v>
      </c>
      <c r="B91" s="22" t="s">
        <v>26</v>
      </c>
      <c r="C91" s="22" t="s">
        <v>2102</v>
      </c>
      <c r="D91" s="22" t="s">
        <v>2121</v>
      </c>
      <c r="E91" s="22" t="s">
        <v>2122</v>
      </c>
      <c r="F91" s="22" t="s">
        <v>1850</v>
      </c>
      <c r="G91" s="22" t="s">
        <v>79</v>
      </c>
      <c r="H91" s="26" t="s">
        <v>73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1851</v>
      </c>
    </row>
    <row r="92" ht="24" customHeight="1" spans="1:17" x14ac:dyDescent="0.25">
      <c r="A92" s="21" t="s">
        <v>2123</v>
      </c>
      <c r="B92" s="22" t="s">
        <v>26</v>
      </c>
      <c r="C92" s="22" t="s">
        <v>2102</v>
      </c>
      <c r="D92" s="22" t="s">
        <v>2124</v>
      </c>
      <c r="E92" s="22" t="s">
        <v>2125</v>
      </c>
      <c r="F92" s="22" t="s">
        <v>1855</v>
      </c>
      <c r="G92" s="22" t="s">
        <v>1856</v>
      </c>
      <c r="H92" s="23" t="s">
        <v>63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1857</v>
      </c>
    </row>
    <row r="93" ht="24" customHeight="1" spans="1:17" x14ac:dyDescent="0.25">
      <c r="A93" s="21" t="s">
        <v>2126</v>
      </c>
      <c r="B93" s="22" t="s">
        <v>26</v>
      </c>
      <c r="C93" s="22" t="s">
        <v>2102</v>
      </c>
      <c r="D93" s="22" t="s">
        <v>2127</v>
      </c>
      <c r="E93" s="22" t="s">
        <v>2128</v>
      </c>
      <c r="F93" s="22" t="s">
        <v>1861</v>
      </c>
      <c r="G93" s="22" t="s">
        <v>79</v>
      </c>
      <c r="H93" s="26" t="s">
        <v>73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1862</v>
      </c>
    </row>
    <row r="94" ht="24" customHeight="1" spans="1:17" x14ac:dyDescent="0.25">
      <c r="A94" s="21" t="s">
        <v>2129</v>
      </c>
      <c r="B94" s="22" t="s">
        <v>26</v>
      </c>
      <c r="C94" s="22" t="s">
        <v>2102</v>
      </c>
      <c r="D94" s="22" t="s">
        <v>2130</v>
      </c>
      <c r="E94" s="22" t="s">
        <v>2131</v>
      </c>
      <c r="F94" s="22" t="s">
        <v>1866</v>
      </c>
      <c r="G94" s="22" t="s">
        <v>85</v>
      </c>
      <c r="H94" s="23" t="s">
        <v>63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1867</v>
      </c>
    </row>
    <row r="95" ht="24" customHeight="1" spans="1:17" x14ac:dyDescent="0.25">
      <c r="A95" s="21" t="s">
        <v>2132</v>
      </c>
      <c r="B95" s="22" t="s">
        <v>26</v>
      </c>
      <c r="C95" s="22" t="s">
        <v>2102</v>
      </c>
      <c r="D95" s="22" t="s">
        <v>2133</v>
      </c>
      <c r="E95" s="22" t="s">
        <v>2134</v>
      </c>
      <c r="F95" s="22" t="s">
        <v>1871</v>
      </c>
      <c r="G95" s="22" t="s">
        <v>62</v>
      </c>
      <c r="H95" s="23" t="s">
        <v>63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1872</v>
      </c>
    </row>
    <row r="96" ht="24" customHeight="1" spans="1:17" x14ac:dyDescent="0.25">
      <c r="A96" s="21" t="s">
        <v>2135</v>
      </c>
      <c r="B96" s="22" t="s">
        <v>26</v>
      </c>
      <c r="C96" s="22" t="s">
        <v>2102</v>
      </c>
      <c r="D96" s="22" t="s">
        <v>2136</v>
      </c>
      <c r="E96" s="22" t="s">
        <v>2137</v>
      </c>
      <c r="F96" s="22" t="s">
        <v>1876</v>
      </c>
      <c r="G96" s="22" t="s">
        <v>165</v>
      </c>
      <c r="H96" s="23" t="s">
        <v>63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1877</v>
      </c>
    </row>
    <row r="97" ht="24" customHeight="1" spans="1:17" x14ac:dyDescent="0.25">
      <c r="A97" s="21" t="s">
        <v>2138</v>
      </c>
      <c r="B97" s="22" t="s">
        <v>26</v>
      </c>
      <c r="C97" s="22" t="s">
        <v>2102</v>
      </c>
      <c r="D97" s="22" t="s">
        <v>2139</v>
      </c>
      <c r="E97" s="22" t="s">
        <v>2140</v>
      </c>
      <c r="F97" s="22" t="s">
        <v>1881</v>
      </c>
      <c r="G97" s="22" t="s">
        <v>165</v>
      </c>
      <c r="H97" s="23" t="s">
        <v>63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1882</v>
      </c>
    </row>
    <row r="98" ht="24" customHeight="1" spans="1:17" x14ac:dyDescent="0.25">
      <c r="A98" s="21" t="s">
        <v>2141</v>
      </c>
      <c r="B98" s="22" t="s">
        <v>26</v>
      </c>
      <c r="C98" s="22" t="s">
        <v>2102</v>
      </c>
      <c r="D98" s="22" t="s">
        <v>2142</v>
      </c>
      <c r="E98" s="22" t="s">
        <v>2143</v>
      </c>
      <c r="F98" s="22" t="s">
        <v>1886</v>
      </c>
      <c r="G98" s="22" t="s">
        <v>1829</v>
      </c>
      <c r="H98" s="23" t="s">
        <v>63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1887</v>
      </c>
    </row>
    <row r="99" ht="24" customHeight="1" spans="1:17" x14ac:dyDescent="0.25">
      <c r="A99" s="21" t="s">
        <v>2144</v>
      </c>
      <c r="B99" s="22" t="s">
        <v>26</v>
      </c>
      <c r="C99" s="22" t="s">
        <v>2102</v>
      </c>
      <c r="D99" s="22" t="s">
        <v>2145</v>
      </c>
      <c r="E99" s="22" t="s">
        <v>2146</v>
      </c>
      <c r="F99" s="22" t="s">
        <v>1891</v>
      </c>
      <c r="G99" s="22" t="s">
        <v>165</v>
      </c>
      <c r="H99" s="9" t="s">
        <v>101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1892</v>
      </c>
    </row>
    <row r="100" ht="24" customHeight="1" spans="1:17" x14ac:dyDescent="0.25">
      <c r="A100" s="21" t="s">
        <v>2147</v>
      </c>
      <c r="B100" s="22" t="s">
        <v>26</v>
      </c>
      <c r="C100" s="22" t="s">
        <v>2102</v>
      </c>
      <c r="D100" s="22" t="s">
        <v>2148</v>
      </c>
      <c r="E100" s="22" t="s">
        <v>2149</v>
      </c>
      <c r="F100" s="22" t="s">
        <v>1896</v>
      </c>
      <c r="G100" s="22" t="s">
        <v>85</v>
      </c>
      <c r="H100" s="23" t="s">
        <v>63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1897</v>
      </c>
    </row>
    <row r="101" ht="24" customHeight="1" spans="1:17" x14ac:dyDescent="0.25">
      <c r="A101" s="21" t="s">
        <v>2150</v>
      </c>
      <c r="B101" s="22" t="s">
        <v>26</v>
      </c>
      <c r="C101" s="22" t="s">
        <v>2102</v>
      </c>
      <c r="D101" s="22" t="s">
        <v>2151</v>
      </c>
      <c r="E101" s="22" t="s">
        <v>2152</v>
      </c>
      <c r="F101" s="22" t="s">
        <v>1901</v>
      </c>
      <c r="G101" s="22" t="s">
        <v>1829</v>
      </c>
      <c r="H101" s="23" t="s">
        <v>63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1902</v>
      </c>
    </row>
    <row r="102" ht="24" customHeight="1" spans="1:17" x14ac:dyDescent="0.25">
      <c r="A102" s="21" t="s">
        <v>2153</v>
      </c>
      <c r="B102" s="22" t="s">
        <v>26</v>
      </c>
      <c r="C102" s="22" t="s">
        <v>2102</v>
      </c>
      <c r="D102" s="22" t="s">
        <v>2154</v>
      </c>
      <c r="E102" s="22" t="s">
        <v>2155</v>
      </c>
      <c r="F102" s="22" t="s">
        <v>1906</v>
      </c>
      <c r="G102" s="22" t="s">
        <v>1829</v>
      </c>
      <c r="H102" s="23" t="s">
        <v>63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1907</v>
      </c>
    </row>
    <row r="103" ht="24" customHeight="1" spans="1:17" x14ac:dyDescent="0.25">
      <c r="A103" s="21" t="s">
        <v>2156</v>
      </c>
      <c r="B103" s="22" t="s">
        <v>26</v>
      </c>
      <c r="C103" s="22" t="s">
        <v>2102</v>
      </c>
      <c r="D103" s="22" t="s">
        <v>2157</v>
      </c>
      <c r="E103" s="22" t="s">
        <v>2158</v>
      </c>
      <c r="F103" s="22" t="s">
        <v>1911</v>
      </c>
      <c r="G103" s="22" t="s">
        <v>1829</v>
      </c>
      <c r="H103" s="9" t="s">
        <v>101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1912</v>
      </c>
    </row>
    <row r="104" ht="24" customHeight="1" spans="1:17" x14ac:dyDescent="0.25">
      <c r="A104" s="21" t="s">
        <v>2159</v>
      </c>
      <c r="B104" s="22" t="s">
        <v>26</v>
      </c>
      <c r="C104" s="22" t="s">
        <v>2102</v>
      </c>
      <c r="D104" s="22" t="s">
        <v>2160</v>
      </c>
      <c r="E104" s="22" t="s">
        <v>2161</v>
      </c>
      <c r="F104" s="22" t="s">
        <v>1916</v>
      </c>
      <c r="G104" s="22" t="s">
        <v>85</v>
      </c>
      <c r="H104" s="23" t="s">
        <v>63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1917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33" t="s">
        <v>2162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ht="24" customHeight="1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2163</v>
      </c>
      <c r="B5" s="22" t="s">
        <v>28</v>
      </c>
      <c r="C5" s="22" t="s">
        <v>2164</v>
      </c>
      <c r="D5" s="22" t="s">
        <v>2165</v>
      </c>
      <c r="E5" s="22" t="s">
        <v>2166</v>
      </c>
      <c r="F5" s="22" t="s">
        <v>2167</v>
      </c>
      <c r="G5" s="22" t="s">
        <v>2168</v>
      </c>
      <c r="H5" s="26" t="s">
        <v>73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2169</v>
      </c>
    </row>
    <row r="6" ht="24" customHeight="1" spans="1:17" x14ac:dyDescent="0.25">
      <c r="A6" s="21" t="s">
        <v>2170</v>
      </c>
      <c r="B6" s="22" t="s">
        <v>28</v>
      </c>
      <c r="C6" s="22" t="s">
        <v>2164</v>
      </c>
      <c r="D6" s="22" t="s">
        <v>2171</v>
      </c>
      <c r="E6" s="22" t="s">
        <v>2172</v>
      </c>
      <c r="F6" s="22" t="s">
        <v>2173</v>
      </c>
      <c r="G6" s="22" t="s">
        <v>2168</v>
      </c>
      <c r="H6" s="23" t="s">
        <v>63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2174</v>
      </c>
    </row>
    <row r="7" ht="24" customHeight="1" spans="1:17" x14ac:dyDescent="0.25">
      <c r="A7" s="21" t="s">
        <v>2175</v>
      </c>
      <c r="B7" s="22" t="s">
        <v>28</v>
      </c>
      <c r="C7" s="22" t="s">
        <v>2164</v>
      </c>
      <c r="D7" s="22" t="s">
        <v>2176</v>
      </c>
      <c r="E7" s="22" t="s">
        <v>2177</v>
      </c>
      <c r="F7" s="22" t="s">
        <v>2178</v>
      </c>
      <c r="G7" s="22" t="s">
        <v>1835</v>
      </c>
      <c r="H7" s="23" t="s">
        <v>63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2179</v>
      </c>
    </row>
    <row r="8" ht="24" customHeight="1" spans="1:17" x14ac:dyDescent="0.25">
      <c r="A8" s="21" t="s">
        <v>2180</v>
      </c>
      <c r="B8" s="22" t="s">
        <v>28</v>
      </c>
      <c r="C8" s="22" t="s">
        <v>2164</v>
      </c>
      <c r="D8" s="22" t="s">
        <v>2181</v>
      </c>
      <c r="E8" s="22" t="s">
        <v>2182</v>
      </c>
      <c r="F8" s="22" t="s">
        <v>2183</v>
      </c>
      <c r="G8" s="22" t="s">
        <v>2168</v>
      </c>
      <c r="H8" s="26" t="s">
        <v>73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2184</v>
      </c>
    </row>
    <row r="9" ht="24" customHeight="1" spans="1:17" x14ac:dyDescent="0.25">
      <c r="A9" s="21" t="s">
        <v>2185</v>
      </c>
      <c r="B9" s="22" t="s">
        <v>28</v>
      </c>
      <c r="C9" s="22" t="s">
        <v>2164</v>
      </c>
      <c r="D9" s="22" t="s">
        <v>2186</v>
      </c>
      <c r="E9" s="22" t="s">
        <v>2187</v>
      </c>
      <c r="F9" s="22" t="s">
        <v>2188</v>
      </c>
      <c r="G9" s="22" t="s">
        <v>165</v>
      </c>
      <c r="H9" s="26" t="s">
        <v>73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2189</v>
      </c>
    </row>
    <row r="10" ht="24" customHeight="1" spans="1:17" x14ac:dyDescent="0.25">
      <c r="A10" s="21" t="s">
        <v>2190</v>
      </c>
      <c r="B10" s="22" t="s">
        <v>28</v>
      </c>
      <c r="C10" s="22" t="s">
        <v>2164</v>
      </c>
      <c r="D10" s="22" t="s">
        <v>2191</v>
      </c>
      <c r="E10" s="22" t="s">
        <v>2192</v>
      </c>
      <c r="F10" s="22" t="s">
        <v>2193</v>
      </c>
      <c r="G10" s="22" t="s">
        <v>165</v>
      </c>
      <c r="H10" s="23" t="s">
        <v>63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2194</v>
      </c>
    </row>
    <row r="11" ht="24" customHeight="1" spans="1:17" x14ac:dyDescent="0.25">
      <c r="A11" s="21" t="s">
        <v>2195</v>
      </c>
      <c r="B11" s="22" t="s">
        <v>28</v>
      </c>
      <c r="C11" s="22" t="s">
        <v>2164</v>
      </c>
      <c r="D11" s="22" t="s">
        <v>2196</v>
      </c>
      <c r="E11" s="22" t="s">
        <v>2197</v>
      </c>
      <c r="F11" s="22" t="s">
        <v>2198</v>
      </c>
      <c r="G11" s="22" t="s">
        <v>165</v>
      </c>
      <c r="H11" s="23" t="s">
        <v>63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2199</v>
      </c>
    </row>
    <row r="12" ht="24" customHeight="1" spans="1:17" x14ac:dyDescent="0.25">
      <c r="A12" s="21" t="s">
        <v>2200</v>
      </c>
      <c r="B12" s="22" t="s">
        <v>28</v>
      </c>
      <c r="C12" s="22" t="s">
        <v>2164</v>
      </c>
      <c r="D12" s="22" t="s">
        <v>2201</v>
      </c>
      <c r="E12" s="22" t="s">
        <v>2202</v>
      </c>
      <c r="F12" s="22" t="s">
        <v>2203</v>
      </c>
      <c r="G12" s="22" t="s">
        <v>79</v>
      </c>
      <c r="H12" s="23" t="s">
        <v>63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2204</v>
      </c>
    </row>
    <row r="13" ht="24" customHeight="1" spans="1:17" x14ac:dyDescent="0.25">
      <c r="A13" s="21" t="s">
        <v>2205</v>
      </c>
      <c r="B13" s="22" t="s">
        <v>28</v>
      </c>
      <c r="C13" s="22" t="s">
        <v>2164</v>
      </c>
      <c r="D13" s="22" t="s">
        <v>2206</v>
      </c>
      <c r="E13" s="22" t="s">
        <v>2207</v>
      </c>
      <c r="F13" s="22" t="s">
        <v>2208</v>
      </c>
      <c r="G13" s="22" t="s">
        <v>2209</v>
      </c>
      <c r="H13" s="26" t="s">
        <v>73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2210</v>
      </c>
    </row>
    <row r="14" ht="24" customHeight="1" spans="1:17" x14ac:dyDescent="0.25">
      <c r="A14" s="21" t="s">
        <v>2211</v>
      </c>
      <c r="B14" s="22" t="s">
        <v>28</v>
      </c>
      <c r="C14" s="22" t="s">
        <v>2164</v>
      </c>
      <c r="D14" s="22" t="s">
        <v>2212</v>
      </c>
      <c r="E14" s="22" t="s">
        <v>2213</v>
      </c>
      <c r="F14" s="22" t="s">
        <v>2214</v>
      </c>
      <c r="G14" s="22" t="s">
        <v>2168</v>
      </c>
      <c r="H14" s="23" t="s">
        <v>63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2215</v>
      </c>
    </row>
    <row r="15" ht="24" customHeight="1" spans="1:17" x14ac:dyDescent="0.25">
      <c r="A15" s="21" t="s">
        <v>2216</v>
      </c>
      <c r="B15" s="22" t="s">
        <v>28</v>
      </c>
      <c r="C15" s="22" t="s">
        <v>2164</v>
      </c>
      <c r="D15" s="22" t="s">
        <v>2217</v>
      </c>
      <c r="E15" s="22" t="s">
        <v>2218</v>
      </c>
      <c r="F15" s="22" t="s">
        <v>2219</v>
      </c>
      <c r="G15" s="22" t="s">
        <v>2168</v>
      </c>
      <c r="H15" s="23" t="s">
        <v>63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2220</v>
      </c>
    </row>
    <row r="16" ht="24" customHeight="1" spans="1:17" x14ac:dyDescent="0.25">
      <c r="A16" s="21" t="s">
        <v>2221</v>
      </c>
      <c r="B16" s="22" t="s">
        <v>28</v>
      </c>
      <c r="C16" s="22" t="s">
        <v>2164</v>
      </c>
      <c r="D16" s="22" t="s">
        <v>2222</v>
      </c>
      <c r="E16" s="22" t="s">
        <v>2223</v>
      </c>
      <c r="F16" s="22" t="s">
        <v>2224</v>
      </c>
      <c r="G16" s="22" t="s">
        <v>2168</v>
      </c>
      <c r="H16" s="23" t="s">
        <v>63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2225</v>
      </c>
    </row>
    <row r="17" ht="24" customHeight="1" spans="1:17" x14ac:dyDescent="0.25">
      <c r="A17" s="21" t="s">
        <v>2226</v>
      </c>
      <c r="B17" s="22" t="s">
        <v>28</v>
      </c>
      <c r="C17" s="22" t="s">
        <v>2164</v>
      </c>
      <c r="D17" s="22" t="s">
        <v>2227</v>
      </c>
      <c r="E17" s="22" t="s">
        <v>2228</v>
      </c>
      <c r="F17" s="22" t="s">
        <v>2229</v>
      </c>
      <c r="G17" s="22" t="s">
        <v>2168</v>
      </c>
      <c r="H17" s="23" t="s">
        <v>63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2230</v>
      </c>
    </row>
    <row r="18" ht="24" customHeight="1" spans="1:17" x14ac:dyDescent="0.25">
      <c r="A18" s="21" t="s">
        <v>2231</v>
      </c>
      <c r="B18" s="22" t="s">
        <v>28</v>
      </c>
      <c r="C18" s="22" t="s">
        <v>2164</v>
      </c>
      <c r="D18" s="22" t="s">
        <v>2232</v>
      </c>
      <c r="E18" s="22" t="s">
        <v>2233</v>
      </c>
      <c r="F18" s="22" t="s">
        <v>2234</v>
      </c>
      <c r="G18" s="22" t="s">
        <v>165</v>
      </c>
      <c r="H18" s="23" t="s">
        <v>63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2235</v>
      </c>
    </row>
    <row r="19" ht="24" customHeight="1" spans="1:17" x14ac:dyDescent="0.25">
      <c r="A19" s="21" t="s">
        <v>2236</v>
      </c>
      <c r="B19" s="22" t="s">
        <v>28</v>
      </c>
      <c r="C19" s="22" t="s">
        <v>2164</v>
      </c>
      <c r="D19" s="22" t="s">
        <v>2237</v>
      </c>
      <c r="E19" s="22" t="s">
        <v>2238</v>
      </c>
      <c r="F19" s="22" t="s">
        <v>2239</v>
      </c>
      <c r="G19" s="22" t="s">
        <v>2168</v>
      </c>
      <c r="H19" s="9" t="s">
        <v>101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2240</v>
      </c>
    </row>
    <row r="20" ht="24" customHeight="1" spans="1:17" x14ac:dyDescent="0.25">
      <c r="A20" s="21" t="s">
        <v>2241</v>
      </c>
      <c r="B20" s="22" t="s">
        <v>28</v>
      </c>
      <c r="C20" s="22" t="s">
        <v>2164</v>
      </c>
      <c r="D20" s="22" t="s">
        <v>2242</v>
      </c>
      <c r="E20" s="22" t="s">
        <v>2243</v>
      </c>
      <c r="F20" s="22" t="s">
        <v>2244</v>
      </c>
      <c r="G20" s="22" t="s">
        <v>1835</v>
      </c>
      <c r="H20" s="23" t="s">
        <v>63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2245</v>
      </c>
    </row>
    <row r="21" ht="24" customHeight="1" spans="1:17" x14ac:dyDescent="0.25">
      <c r="A21" s="21" t="s">
        <v>2246</v>
      </c>
      <c r="B21" s="22" t="s">
        <v>28</v>
      </c>
      <c r="C21" s="22" t="s">
        <v>2164</v>
      </c>
      <c r="D21" s="22" t="s">
        <v>2247</v>
      </c>
      <c r="E21" s="22" t="s">
        <v>2248</v>
      </c>
      <c r="F21" s="22" t="s">
        <v>2249</v>
      </c>
      <c r="G21" s="22" t="s">
        <v>1165</v>
      </c>
      <c r="H21" s="23" t="s">
        <v>63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2250</v>
      </c>
    </row>
    <row r="22" ht="24" customHeight="1" spans="1:17" x14ac:dyDescent="0.25">
      <c r="A22" s="21" t="s">
        <v>2251</v>
      </c>
      <c r="B22" s="22" t="s">
        <v>28</v>
      </c>
      <c r="C22" s="22" t="s">
        <v>2164</v>
      </c>
      <c r="D22" s="22" t="s">
        <v>2252</v>
      </c>
      <c r="E22" s="22" t="s">
        <v>2253</v>
      </c>
      <c r="F22" s="22" t="s">
        <v>2254</v>
      </c>
      <c r="G22" s="22" t="s">
        <v>1835</v>
      </c>
      <c r="H22" s="9" t="s">
        <v>101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2255</v>
      </c>
    </row>
    <row r="23" ht="24" customHeight="1" spans="1:17" x14ac:dyDescent="0.25">
      <c r="A23" s="21" t="s">
        <v>2256</v>
      </c>
      <c r="B23" s="22" t="s">
        <v>28</v>
      </c>
      <c r="C23" s="22" t="s">
        <v>2164</v>
      </c>
      <c r="D23" s="22" t="s">
        <v>2257</v>
      </c>
      <c r="E23" s="22" t="s">
        <v>2258</v>
      </c>
      <c r="F23" s="22" t="s">
        <v>2259</v>
      </c>
      <c r="G23" s="22" t="s">
        <v>165</v>
      </c>
      <c r="H23" s="23" t="s">
        <v>63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2260</v>
      </c>
    </row>
    <row r="24" ht="24" customHeight="1" spans="1:17" x14ac:dyDescent="0.25">
      <c r="A24" s="21" t="s">
        <v>2261</v>
      </c>
      <c r="B24" s="22" t="s">
        <v>28</v>
      </c>
      <c r="C24" s="22" t="s">
        <v>2164</v>
      </c>
      <c r="D24" s="22" t="s">
        <v>2262</v>
      </c>
      <c r="E24" s="22" t="s">
        <v>2263</v>
      </c>
      <c r="F24" s="22" t="s">
        <v>2264</v>
      </c>
      <c r="G24" s="22" t="s">
        <v>2168</v>
      </c>
      <c r="H24" s="23" t="s">
        <v>63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2265</v>
      </c>
    </row>
    <row r="25" ht="24" customHeight="1" spans="1:17" x14ac:dyDescent="0.25">
      <c r="A25" s="21" t="s">
        <v>2266</v>
      </c>
      <c r="B25" s="22" t="s">
        <v>28</v>
      </c>
      <c r="C25" s="22" t="s">
        <v>2267</v>
      </c>
      <c r="D25" s="22" t="s">
        <v>2268</v>
      </c>
      <c r="E25" s="22" t="s">
        <v>2269</v>
      </c>
      <c r="F25" s="22" t="s">
        <v>2167</v>
      </c>
      <c r="G25" s="22" t="s">
        <v>2168</v>
      </c>
      <c r="H25" s="26" t="s">
        <v>73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2169</v>
      </c>
    </row>
    <row r="26" ht="24" customHeight="1" spans="1:17" x14ac:dyDescent="0.25">
      <c r="A26" s="21" t="s">
        <v>2270</v>
      </c>
      <c r="B26" s="22" t="s">
        <v>28</v>
      </c>
      <c r="C26" s="22" t="s">
        <v>2267</v>
      </c>
      <c r="D26" s="22" t="s">
        <v>2271</v>
      </c>
      <c r="E26" s="22" t="s">
        <v>2272</v>
      </c>
      <c r="F26" s="22" t="s">
        <v>2173</v>
      </c>
      <c r="G26" s="22" t="s">
        <v>2168</v>
      </c>
      <c r="H26" s="23" t="s">
        <v>63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2174</v>
      </c>
    </row>
    <row r="27" ht="24" customHeight="1" spans="1:17" x14ac:dyDescent="0.25">
      <c r="A27" s="21" t="s">
        <v>2273</v>
      </c>
      <c r="B27" s="22" t="s">
        <v>28</v>
      </c>
      <c r="C27" s="22" t="s">
        <v>2267</v>
      </c>
      <c r="D27" s="22" t="s">
        <v>2274</v>
      </c>
      <c r="E27" s="22" t="s">
        <v>2275</v>
      </c>
      <c r="F27" s="22" t="s">
        <v>2178</v>
      </c>
      <c r="G27" s="22" t="s">
        <v>1835</v>
      </c>
      <c r="H27" s="23" t="s">
        <v>63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2179</v>
      </c>
    </row>
    <row r="28" ht="24" customHeight="1" spans="1:17" x14ac:dyDescent="0.25">
      <c r="A28" s="21" t="s">
        <v>2276</v>
      </c>
      <c r="B28" s="22" t="s">
        <v>28</v>
      </c>
      <c r="C28" s="22" t="s">
        <v>2267</v>
      </c>
      <c r="D28" s="22" t="s">
        <v>2277</v>
      </c>
      <c r="E28" s="22" t="s">
        <v>2278</v>
      </c>
      <c r="F28" s="22" t="s">
        <v>2183</v>
      </c>
      <c r="G28" s="22" t="s">
        <v>2168</v>
      </c>
      <c r="H28" s="26" t="s">
        <v>73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2184</v>
      </c>
    </row>
    <row r="29" ht="24" customHeight="1" spans="1:17" x14ac:dyDescent="0.25">
      <c r="A29" s="21" t="s">
        <v>2279</v>
      </c>
      <c r="B29" s="22" t="s">
        <v>28</v>
      </c>
      <c r="C29" s="22" t="s">
        <v>2267</v>
      </c>
      <c r="D29" s="22" t="s">
        <v>2280</v>
      </c>
      <c r="E29" s="22" t="s">
        <v>2281</v>
      </c>
      <c r="F29" s="22" t="s">
        <v>2188</v>
      </c>
      <c r="G29" s="22" t="s">
        <v>165</v>
      </c>
      <c r="H29" s="26" t="s">
        <v>73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2189</v>
      </c>
    </row>
    <row r="30" ht="24" customHeight="1" spans="1:17" x14ac:dyDescent="0.25">
      <c r="A30" s="21" t="s">
        <v>2282</v>
      </c>
      <c r="B30" s="22" t="s">
        <v>28</v>
      </c>
      <c r="C30" s="22" t="s">
        <v>2267</v>
      </c>
      <c r="D30" s="22" t="s">
        <v>2283</v>
      </c>
      <c r="E30" s="22" t="s">
        <v>2284</v>
      </c>
      <c r="F30" s="22" t="s">
        <v>2193</v>
      </c>
      <c r="G30" s="22" t="s">
        <v>165</v>
      </c>
      <c r="H30" s="23" t="s">
        <v>63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2194</v>
      </c>
    </row>
    <row r="31" ht="24" customHeight="1" spans="1:17" x14ac:dyDescent="0.25">
      <c r="A31" s="21" t="s">
        <v>2285</v>
      </c>
      <c r="B31" s="22" t="s">
        <v>28</v>
      </c>
      <c r="C31" s="22" t="s">
        <v>2267</v>
      </c>
      <c r="D31" s="22" t="s">
        <v>2286</v>
      </c>
      <c r="E31" s="22" t="s">
        <v>2287</v>
      </c>
      <c r="F31" s="22" t="s">
        <v>2198</v>
      </c>
      <c r="G31" s="22" t="s">
        <v>165</v>
      </c>
      <c r="H31" s="23" t="s">
        <v>63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2199</v>
      </c>
    </row>
    <row r="32" ht="24" customHeight="1" spans="1:17" x14ac:dyDescent="0.25">
      <c r="A32" s="21" t="s">
        <v>2288</v>
      </c>
      <c r="B32" s="22" t="s">
        <v>28</v>
      </c>
      <c r="C32" s="22" t="s">
        <v>2267</v>
      </c>
      <c r="D32" s="22" t="s">
        <v>2289</v>
      </c>
      <c r="E32" s="22" t="s">
        <v>2290</v>
      </c>
      <c r="F32" s="22" t="s">
        <v>2203</v>
      </c>
      <c r="G32" s="22" t="s">
        <v>79</v>
      </c>
      <c r="H32" s="23" t="s">
        <v>63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2204</v>
      </c>
    </row>
    <row r="33" ht="24" customHeight="1" spans="1:17" x14ac:dyDescent="0.25">
      <c r="A33" s="21" t="s">
        <v>2291</v>
      </c>
      <c r="B33" s="22" t="s">
        <v>28</v>
      </c>
      <c r="C33" s="22" t="s">
        <v>2267</v>
      </c>
      <c r="D33" s="22" t="s">
        <v>2292</v>
      </c>
      <c r="E33" s="22" t="s">
        <v>2293</v>
      </c>
      <c r="F33" s="22" t="s">
        <v>2208</v>
      </c>
      <c r="G33" s="22" t="s">
        <v>2209</v>
      </c>
      <c r="H33" s="26" t="s">
        <v>73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2210</v>
      </c>
    </row>
    <row r="34" ht="24" customHeight="1" spans="1:17" x14ac:dyDescent="0.25">
      <c r="A34" s="21" t="s">
        <v>2294</v>
      </c>
      <c r="B34" s="22" t="s">
        <v>28</v>
      </c>
      <c r="C34" s="22" t="s">
        <v>2267</v>
      </c>
      <c r="D34" s="22" t="s">
        <v>2295</v>
      </c>
      <c r="E34" s="22" t="s">
        <v>2296</v>
      </c>
      <c r="F34" s="22" t="s">
        <v>2214</v>
      </c>
      <c r="G34" s="22" t="s">
        <v>2168</v>
      </c>
      <c r="H34" s="23" t="s">
        <v>63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2215</v>
      </c>
    </row>
    <row r="35" ht="24" customHeight="1" spans="1:17" x14ac:dyDescent="0.25">
      <c r="A35" s="21" t="s">
        <v>2297</v>
      </c>
      <c r="B35" s="22" t="s">
        <v>28</v>
      </c>
      <c r="C35" s="22" t="s">
        <v>2267</v>
      </c>
      <c r="D35" s="22" t="s">
        <v>2298</v>
      </c>
      <c r="E35" s="22" t="s">
        <v>2299</v>
      </c>
      <c r="F35" s="22" t="s">
        <v>2219</v>
      </c>
      <c r="G35" s="22" t="s">
        <v>2168</v>
      </c>
      <c r="H35" s="23" t="s">
        <v>63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2220</v>
      </c>
    </row>
    <row r="36" ht="24" customHeight="1" spans="1:17" x14ac:dyDescent="0.25">
      <c r="A36" s="21" t="s">
        <v>2300</v>
      </c>
      <c r="B36" s="22" t="s">
        <v>28</v>
      </c>
      <c r="C36" s="22" t="s">
        <v>2267</v>
      </c>
      <c r="D36" s="22" t="s">
        <v>2301</v>
      </c>
      <c r="E36" s="22" t="s">
        <v>2302</v>
      </c>
      <c r="F36" s="22" t="s">
        <v>2224</v>
      </c>
      <c r="G36" s="22" t="s">
        <v>2168</v>
      </c>
      <c r="H36" s="23" t="s">
        <v>63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2225</v>
      </c>
    </row>
    <row r="37" ht="24" customHeight="1" spans="1:17" x14ac:dyDescent="0.25">
      <c r="A37" s="21" t="s">
        <v>2303</v>
      </c>
      <c r="B37" s="22" t="s">
        <v>28</v>
      </c>
      <c r="C37" s="22" t="s">
        <v>2267</v>
      </c>
      <c r="D37" s="22" t="s">
        <v>2304</v>
      </c>
      <c r="E37" s="22" t="s">
        <v>2305</v>
      </c>
      <c r="F37" s="22" t="s">
        <v>2229</v>
      </c>
      <c r="G37" s="22" t="s">
        <v>2168</v>
      </c>
      <c r="H37" s="23" t="s">
        <v>63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2230</v>
      </c>
    </row>
    <row r="38" ht="24" customHeight="1" spans="1:17" x14ac:dyDescent="0.25">
      <c r="A38" s="21" t="s">
        <v>2306</v>
      </c>
      <c r="B38" s="22" t="s">
        <v>28</v>
      </c>
      <c r="C38" s="22" t="s">
        <v>2267</v>
      </c>
      <c r="D38" s="22" t="s">
        <v>2307</v>
      </c>
      <c r="E38" s="22" t="s">
        <v>2308</v>
      </c>
      <c r="F38" s="22" t="s">
        <v>2234</v>
      </c>
      <c r="G38" s="22" t="s">
        <v>165</v>
      </c>
      <c r="H38" s="23" t="s">
        <v>63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2235</v>
      </c>
    </row>
    <row r="39" ht="24" customHeight="1" spans="1:17" x14ac:dyDescent="0.25">
      <c r="A39" s="21" t="s">
        <v>2309</v>
      </c>
      <c r="B39" s="22" t="s">
        <v>28</v>
      </c>
      <c r="C39" s="22" t="s">
        <v>2267</v>
      </c>
      <c r="D39" s="22" t="s">
        <v>2310</v>
      </c>
      <c r="E39" s="22" t="s">
        <v>2311</v>
      </c>
      <c r="F39" s="22" t="s">
        <v>2239</v>
      </c>
      <c r="G39" s="22" t="s">
        <v>2168</v>
      </c>
      <c r="H39" s="9" t="s">
        <v>101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2240</v>
      </c>
    </row>
    <row r="40" ht="24" customHeight="1" spans="1:17" x14ac:dyDescent="0.25">
      <c r="A40" s="21" t="s">
        <v>2312</v>
      </c>
      <c r="B40" s="22" t="s">
        <v>28</v>
      </c>
      <c r="C40" s="22" t="s">
        <v>2267</v>
      </c>
      <c r="D40" s="22" t="s">
        <v>2313</v>
      </c>
      <c r="E40" s="22" t="s">
        <v>2314</v>
      </c>
      <c r="F40" s="22" t="s">
        <v>2244</v>
      </c>
      <c r="G40" s="22" t="s">
        <v>1835</v>
      </c>
      <c r="H40" s="23" t="s">
        <v>63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2245</v>
      </c>
    </row>
    <row r="41" ht="24" customHeight="1" spans="1:17" x14ac:dyDescent="0.25">
      <c r="A41" s="21" t="s">
        <v>2315</v>
      </c>
      <c r="B41" s="22" t="s">
        <v>28</v>
      </c>
      <c r="C41" s="22" t="s">
        <v>2267</v>
      </c>
      <c r="D41" s="22" t="s">
        <v>2316</v>
      </c>
      <c r="E41" s="22" t="s">
        <v>2317</v>
      </c>
      <c r="F41" s="22" t="s">
        <v>2249</v>
      </c>
      <c r="G41" s="22" t="s">
        <v>1165</v>
      </c>
      <c r="H41" s="23" t="s">
        <v>63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2250</v>
      </c>
    </row>
    <row r="42" ht="24" customHeight="1" spans="1:17" x14ac:dyDescent="0.25">
      <c r="A42" s="21" t="s">
        <v>2318</v>
      </c>
      <c r="B42" s="22" t="s">
        <v>28</v>
      </c>
      <c r="C42" s="22" t="s">
        <v>2267</v>
      </c>
      <c r="D42" s="22" t="s">
        <v>2319</v>
      </c>
      <c r="E42" s="22" t="s">
        <v>2320</v>
      </c>
      <c r="F42" s="22" t="s">
        <v>2254</v>
      </c>
      <c r="G42" s="22" t="s">
        <v>1835</v>
      </c>
      <c r="H42" s="9" t="s">
        <v>101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2255</v>
      </c>
    </row>
    <row r="43" ht="24" customHeight="1" spans="1:17" x14ac:dyDescent="0.25">
      <c r="A43" s="21" t="s">
        <v>2321</v>
      </c>
      <c r="B43" s="22" t="s">
        <v>28</v>
      </c>
      <c r="C43" s="22" t="s">
        <v>2267</v>
      </c>
      <c r="D43" s="22" t="s">
        <v>2322</v>
      </c>
      <c r="E43" s="22" t="s">
        <v>2323</v>
      </c>
      <c r="F43" s="22" t="s">
        <v>2259</v>
      </c>
      <c r="G43" s="22" t="s">
        <v>165</v>
      </c>
      <c r="H43" s="23" t="s">
        <v>63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2260</v>
      </c>
    </row>
    <row r="44" ht="24" customHeight="1" spans="1:17" x14ac:dyDescent="0.25">
      <c r="A44" s="21" t="s">
        <v>2324</v>
      </c>
      <c r="B44" s="22" t="s">
        <v>28</v>
      </c>
      <c r="C44" s="22" t="s">
        <v>2267</v>
      </c>
      <c r="D44" s="22" t="s">
        <v>2325</v>
      </c>
      <c r="E44" s="22" t="s">
        <v>2326</v>
      </c>
      <c r="F44" s="22" t="s">
        <v>2264</v>
      </c>
      <c r="G44" s="22" t="s">
        <v>2168</v>
      </c>
      <c r="H44" s="23" t="s">
        <v>63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2265</v>
      </c>
    </row>
    <row r="45" ht="24" customHeight="1" spans="1:17" x14ac:dyDescent="0.25">
      <c r="A45" s="21" t="s">
        <v>2327</v>
      </c>
      <c r="B45" s="22" t="s">
        <v>28</v>
      </c>
      <c r="C45" s="22" t="s">
        <v>2328</v>
      </c>
      <c r="D45" s="22" t="s">
        <v>2329</v>
      </c>
      <c r="E45" s="22" t="s">
        <v>2330</v>
      </c>
      <c r="F45" s="22" t="s">
        <v>2167</v>
      </c>
      <c r="G45" s="22" t="s">
        <v>2168</v>
      </c>
      <c r="H45" s="26" t="s">
        <v>73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2169</v>
      </c>
    </row>
    <row r="46" ht="24" customHeight="1" spans="1:17" x14ac:dyDescent="0.25">
      <c r="A46" s="21" t="s">
        <v>2331</v>
      </c>
      <c r="B46" s="22" t="s">
        <v>28</v>
      </c>
      <c r="C46" s="22" t="s">
        <v>2328</v>
      </c>
      <c r="D46" s="22" t="s">
        <v>2332</v>
      </c>
      <c r="E46" s="22" t="s">
        <v>2333</v>
      </c>
      <c r="F46" s="22" t="s">
        <v>2173</v>
      </c>
      <c r="G46" s="22" t="s">
        <v>2168</v>
      </c>
      <c r="H46" s="23" t="s">
        <v>63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2174</v>
      </c>
    </row>
    <row r="47" ht="24" customHeight="1" spans="1:17" x14ac:dyDescent="0.25">
      <c r="A47" s="21" t="s">
        <v>2334</v>
      </c>
      <c r="B47" s="22" t="s">
        <v>28</v>
      </c>
      <c r="C47" s="22" t="s">
        <v>2328</v>
      </c>
      <c r="D47" s="22" t="s">
        <v>2335</v>
      </c>
      <c r="E47" s="22" t="s">
        <v>2336</v>
      </c>
      <c r="F47" s="22" t="s">
        <v>2178</v>
      </c>
      <c r="G47" s="22" t="s">
        <v>1835</v>
      </c>
      <c r="H47" s="23" t="s">
        <v>63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2179</v>
      </c>
    </row>
    <row r="48" ht="24" customHeight="1" spans="1:17" x14ac:dyDescent="0.25">
      <c r="A48" s="21" t="s">
        <v>2337</v>
      </c>
      <c r="B48" s="22" t="s">
        <v>28</v>
      </c>
      <c r="C48" s="22" t="s">
        <v>2328</v>
      </c>
      <c r="D48" s="22" t="s">
        <v>2338</v>
      </c>
      <c r="E48" s="22" t="s">
        <v>2339</v>
      </c>
      <c r="F48" s="22" t="s">
        <v>2183</v>
      </c>
      <c r="G48" s="22" t="s">
        <v>2168</v>
      </c>
      <c r="H48" s="26" t="s">
        <v>73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2184</v>
      </c>
    </row>
    <row r="49" ht="24" customHeight="1" spans="1:17" x14ac:dyDescent="0.25">
      <c r="A49" s="21" t="s">
        <v>2340</v>
      </c>
      <c r="B49" s="22" t="s">
        <v>28</v>
      </c>
      <c r="C49" s="22" t="s">
        <v>2328</v>
      </c>
      <c r="D49" s="22" t="s">
        <v>2341</v>
      </c>
      <c r="E49" s="22" t="s">
        <v>2342</v>
      </c>
      <c r="F49" s="22" t="s">
        <v>2188</v>
      </c>
      <c r="G49" s="22" t="s">
        <v>165</v>
      </c>
      <c r="H49" s="26" t="s">
        <v>73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2189</v>
      </c>
    </row>
    <row r="50" ht="24" customHeight="1" spans="1:17" x14ac:dyDescent="0.25">
      <c r="A50" s="21" t="s">
        <v>2343</v>
      </c>
      <c r="B50" s="22" t="s">
        <v>28</v>
      </c>
      <c r="C50" s="22" t="s">
        <v>2328</v>
      </c>
      <c r="D50" s="22" t="s">
        <v>2344</v>
      </c>
      <c r="E50" s="22" t="s">
        <v>2345</v>
      </c>
      <c r="F50" s="22" t="s">
        <v>2193</v>
      </c>
      <c r="G50" s="22" t="s">
        <v>165</v>
      </c>
      <c r="H50" s="23" t="s">
        <v>63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2194</v>
      </c>
    </row>
    <row r="51" ht="24" customHeight="1" spans="1:17" x14ac:dyDescent="0.25">
      <c r="A51" s="21" t="s">
        <v>2346</v>
      </c>
      <c r="B51" s="22" t="s">
        <v>28</v>
      </c>
      <c r="C51" s="22" t="s">
        <v>2328</v>
      </c>
      <c r="D51" s="22" t="s">
        <v>2347</v>
      </c>
      <c r="E51" s="22" t="s">
        <v>2348</v>
      </c>
      <c r="F51" s="22" t="s">
        <v>2198</v>
      </c>
      <c r="G51" s="22" t="s">
        <v>165</v>
      </c>
      <c r="H51" s="23" t="s">
        <v>63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2199</v>
      </c>
    </row>
    <row r="52" ht="24" customHeight="1" spans="1:17" x14ac:dyDescent="0.25">
      <c r="A52" s="21" t="s">
        <v>2349</v>
      </c>
      <c r="B52" s="22" t="s">
        <v>28</v>
      </c>
      <c r="C52" s="22" t="s">
        <v>2328</v>
      </c>
      <c r="D52" s="22" t="s">
        <v>2350</v>
      </c>
      <c r="E52" s="22" t="s">
        <v>2351</v>
      </c>
      <c r="F52" s="22" t="s">
        <v>2203</v>
      </c>
      <c r="G52" s="22" t="s">
        <v>79</v>
      </c>
      <c r="H52" s="23" t="s">
        <v>63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2204</v>
      </c>
    </row>
    <row r="53" ht="24" customHeight="1" spans="1:17" x14ac:dyDescent="0.25">
      <c r="A53" s="21" t="s">
        <v>2352</v>
      </c>
      <c r="B53" s="22" t="s">
        <v>28</v>
      </c>
      <c r="C53" s="22" t="s">
        <v>2328</v>
      </c>
      <c r="D53" s="22" t="s">
        <v>2353</v>
      </c>
      <c r="E53" s="22" t="s">
        <v>2354</v>
      </c>
      <c r="F53" s="22" t="s">
        <v>2208</v>
      </c>
      <c r="G53" s="22" t="s">
        <v>2209</v>
      </c>
      <c r="H53" s="26" t="s">
        <v>73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2210</v>
      </c>
    </row>
    <row r="54" ht="24" customHeight="1" spans="1:17" x14ac:dyDescent="0.25">
      <c r="A54" s="21" t="s">
        <v>2355</v>
      </c>
      <c r="B54" s="22" t="s">
        <v>28</v>
      </c>
      <c r="C54" s="22" t="s">
        <v>2328</v>
      </c>
      <c r="D54" s="22" t="s">
        <v>2356</v>
      </c>
      <c r="E54" s="22" t="s">
        <v>2357</v>
      </c>
      <c r="F54" s="22" t="s">
        <v>2214</v>
      </c>
      <c r="G54" s="22" t="s">
        <v>2168</v>
      </c>
      <c r="H54" s="23" t="s">
        <v>63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2215</v>
      </c>
    </row>
    <row r="55" ht="24" customHeight="1" spans="1:17" x14ac:dyDescent="0.25">
      <c r="A55" s="21" t="s">
        <v>2358</v>
      </c>
      <c r="B55" s="22" t="s">
        <v>28</v>
      </c>
      <c r="C55" s="22" t="s">
        <v>2328</v>
      </c>
      <c r="D55" s="22" t="s">
        <v>2359</v>
      </c>
      <c r="E55" s="22" t="s">
        <v>2360</v>
      </c>
      <c r="F55" s="22" t="s">
        <v>2219</v>
      </c>
      <c r="G55" s="22" t="s">
        <v>2168</v>
      </c>
      <c r="H55" s="23" t="s">
        <v>63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2220</v>
      </c>
    </row>
    <row r="56" ht="24" customHeight="1" spans="1:17" x14ac:dyDescent="0.25">
      <c r="A56" s="21" t="s">
        <v>2361</v>
      </c>
      <c r="B56" s="22" t="s">
        <v>28</v>
      </c>
      <c r="C56" s="22" t="s">
        <v>2328</v>
      </c>
      <c r="D56" s="22" t="s">
        <v>2362</v>
      </c>
      <c r="E56" s="22" t="s">
        <v>2363</v>
      </c>
      <c r="F56" s="22" t="s">
        <v>2224</v>
      </c>
      <c r="G56" s="22" t="s">
        <v>2168</v>
      </c>
      <c r="H56" s="23" t="s">
        <v>63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2225</v>
      </c>
    </row>
    <row r="57" ht="24" customHeight="1" spans="1:17" x14ac:dyDescent="0.25">
      <c r="A57" s="21" t="s">
        <v>2364</v>
      </c>
      <c r="B57" s="22" t="s">
        <v>28</v>
      </c>
      <c r="C57" s="22" t="s">
        <v>2328</v>
      </c>
      <c r="D57" s="22" t="s">
        <v>2365</v>
      </c>
      <c r="E57" s="22" t="s">
        <v>2366</v>
      </c>
      <c r="F57" s="22" t="s">
        <v>2229</v>
      </c>
      <c r="G57" s="22" t="s">
        <v>2168</v>
      </c>
      <c r="H57" s="23" t="s">
        <v>63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2230</v>
      </c>
    </row>
    <row r="58" ht="24" customHeight="1" spans="1:17" x14ac:dyDescent="0.25">
      <c r="A58" s="21" t="s">
        <v>2367</v>
      </c>
      <c r="B58" s="22" t="s">
        <v>28</v>
      </c>
      <c r="C58" s="22" t="s">
        <v>2328</v>
      </c>
      <c r="D58" s="22" t="s">
        <v>2368</v>
      </c>
      <c r="E58" s="22" t="s">
        <v>2369</v>
      </c>
      <c r="F58" s="22" t="s">
        <v>2234</v>
      </c>
      <c r="G58" s="22" t="s">
        <v>165</v>
      </c>
      <c r="H58" s="23" t="s">
        <v>63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2235</v>
      </c>
    </row>
    <row r="59" ht="24" customHeight="1" spans="1:17" x14ac:dyDescent="0.25">
      <c r="A59" s="21" t="s">
        <v>2370</v>
      </c>
      <c r="B59" s="22" t="s">
        <v>28</v>
      </c>
      <c r="C59" s="22" t="s">
        <v>2328</v>
      </c>
      <c r="D59" s="22" t="s">
        <v>2371</v>
      </c>
      <c r="E59" s="22" t="s">
        <v>2372</v>
      </c>
      <c r="F59" s="22" t="s">
        <v>2239</v>
      </c>
      <c r="G59" s="22" t="s">
        <v>2168</v>
      </c>
      <c r="H59" s="9" t="s">
        <v>101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2240</v>
      </c>
    </row>
    <row r="60" ht="24" customHeight="1" spans="1:17" x14ac:dyDescent="0.25">
      <c r="A60" s="21" t="s">
        <v>2373</v>
      </c>
      <c r="B60" s="22" t="s">
        <v>28</v>
      </c>
      <c r="C60" s="22" t="s">
        <v>2328</v>
      </c>
      <c r="D60" s="22" t="s">
        <v>2374</v>
      </c>
      <c r="E60" s="22" t="s">
        <v>2375</v>
      </c>
      <c r="F60" s="22" t="s">
        <v>2244</v>
      </c>
      <c r="G60" s="22" t="s">
        <v>1835</v>
      </c>
      <c r="H60" s="23" t="s">
        <v>63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2245</v>
      </c>
    </row>
    <row r="61" ht="24" customHeight="1" spans="1:17" x14ac:dyDescent="0.25">
      <c r="A61" s="21" t="s">
        <v>2376</v>
      </c>
      <c r="B61" s="22" t="s">
        <v>28</v>
      </c>
      <c r="C61" s="22" t="s">
        <v>2328</v>
      </c>
      <c r="D61" s="22" t="s">
        <v>2377</v>
      </c>
      <c r="E61" s="22" t="s">
        <v>2378</v>
      </c>
      <c r="F61" s="22" t="s">
        <v>2249</v>
      </c>
      <c r="G61" s="22" t="s">
        <v>1165</v>
      </c>
      <c r="H61" s="23" t="s">
        <v>63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2250</v>
      </c>
    </row>
    <row r="62" ht="24" customHeight="1" spans="1:17" x14ac:dyDescent="0.25">
      <c r="A62" s="21" t="s">
        <v>2379</v>
      </c>
      <c r="B62" s="22" t="s">
        <v>28</v>
      </c>
      <c r="C62" s="22" t="s">
        <v>2328</v>
      </c>
      <c r="D62" s="22" t="s">
        <v>2380</v>
      </c>
      <c r="E62" s="22" t="s">
        <v>2381</v>
      </c>
      <c r="F62" s="22" t="s">
        <v>2254</v>
      </c>
      <c r="G62" s="22" t="s">
        <v>1835</v>
      </c>
      <c r="H62" s="9" t="s">
        <v>101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2255</v>
      </c>
    </row>
    <row r="63" ht="24" customHeight="1" spans="1:17" x14ac:dyDescent="0.25">
      <c r="A63" s="21" t="s">
        <v>2382</v>
      </c>
      <c r="B63" s="22" t="s">
        <v>28</v>
      </c>
      <c r="C63" s="22" t="s">
        <v>2328</v>
      </c>
      <c r="D63" s="22" t="s">
        <v>2383</v>
      </c>
      <c r="E63" s="22" t="s">
        <v>2384</v>
      </c>
      <c r="F63" s="22" t="s">
        <v>2259</v>
      </c>
      <c r="G63" s="22" t="s">
        <v>165</v>
      </c>
      <c r="H63" s="23" t="s">
        <v>63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2260</v>
      </c>
    </row>
    <row r="64" ht="24" customHeight="1" spans="1:17" x14ac:dyDescent="0.25">
      <c r="A64" s="21" t="s">
        <v>2385</v>
      </c>
      <c r="B64" s="22" t="s">
        <v>28</v>
      </c>
      <c r="C64" s="22" t="s">
        <v>2328</v>
      </c>
      <c r="D64" s="22" t="s">
        <v>2386</v>
      </c>
      <c r="E64" s="22" t="s">
        <v>2387</v>
      </c>
      <c r="F64" s="22" t="s">
        <v>2264</v>
      </c>
      <c r="G64" s="22" t="s">
        <v>2168</v>
      </c>
      <c r="H64" s="23" t="s">
        <v>63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2265</v>
      </c>
    </row>
    <row r="65" ht="24" customHeight="1" spans="1:17" x14ac:dyDescent="0.25">
      <c r="A65" s="21" t="s">
        <v>2388</v>
      </c>
      <c r="B65" s="22" t="s">
        <v>28</v>
      </c>
      <c r="C65" s="22" t="s">
        <v>2389</v>
      </c>
      <c r="D65" s="22" t="s">
        <v>2390</v>
      </c>
      <c r="E65" s="22" t="s">
        <v>2391</v>
      </c>
      <c r="F65" s="22" t="s">
        <v>2167</v>
      </c>
      <c r="G65" s="22" t="s">
        <v>2168</v>
      </c>
      <c r="H65" s="26" t="s">
        <v>73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2169</v>
      </c>
    </row>
    <row r="66" ht="24" customHeight="1" spans="1:17" x14ac:dyDescent="0.25">
      <c r="A66" s="21" t="s">
        <v>2392</v>
      </c>
      <c r="B66" s="22" t="s">
        <v>28</v>
      </c>
      <c r="C66" s="22" t="s">
        <v>2389</v>
      </c>
      <c r="D66" s="22" t="s">
        <v>2393</v>
      </c>
      <c r="E66" s="22" t="s">
        <v>2394</v>
      </c>
      <c r="F66" s="22" t="s">
        <v>2173</v>
      </c>
      <c r="G66" s="22" t="s">
        <v>2168</v>
      </c>
      <c r="H66" s="23" t="s">
        <v>63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2174</v>
      </c>
    </row>
    <row r="67" ht="24" customHeight="1" spans="1:17" x14ac:dyDescent="0.25">
      <c r="A67" s="21" t="s">
        <v>2395</v>
      </c>
      <c r="B67" s="22" t="s">
        <v>28</v>
      </c>
      <c r="C67" s="22" t="s">
        <v>2389</v>
      </c>
      <c r="D67" s="22" t="s">
        <v>2396</v>
      </c>
      <c r="E67" s="22" t="s">
        <v>2397</v>
      </c>
      <c r="F67" s="22" t="s">
        <v>2178</v>
      </c>
      <c r="G67" s="22" t="s">
        <v>1835</v>
      </c>
      <c r="H67" s="23" t="s">
        <v>63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2179</v>
      </c>
    </row>
    <row r="68" ht="24" customHeight="1" spans="1:17" x14ac:dyDescent="0.25">
      <c r="A68" s="21" t="s">
        <v>2398</v>
      </c>
      <c r="B68" s="22" t="s">
        <v>28</v>
      </c>
      <c r="C68" s="22" t="s">
        <v>2389</v>
      </c>
      <c r="D68" s="22" t="s">
        <v>2399</v>
      </c>
      <c r="E68" s="22" t="s">
        <v>2400</v>
      </c>
      <c r="F68" s="22" t="s">
        <v>2183</v>
      </c>
      <c r="G68" s="22" t="s">
        <v>2168</v>
      </c>
      <c r="H68" s="26" t="s">
        <v>73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2184</v>
      </c>
    </row>
    <row r="69" ht="24" customHeight="1" spans="1:17" x14ac:dyDescent="0.25">
      <c r="A69" s="21" t="s">
        <v>2401</v>
      </c>
      <c r="B69" s="22" t="s">
        <v>28</v>
      </c>
      <c r="C69" s="22" t="s">
        <v>2389</v>
      </c>
      <c r="D69" s="22" t="s">
        <v>2402</v>
      </c>
      <c r="E69" s="22" t="s">
        <v>2403</v>
      </c>
      <c r="F69" s="22" t="s">
        <v>2188</v>
      </c>
      <c r="G69" s="22" t="s">
        <v>165</v>
      </c>
      <c r="H69" s="26" t="s">
        <v>73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2189</v>
      </c>
    </row>
    <row r="70" ht="24" customHeight="1" spans="1:17" x14ac:dyDescent="0.25">
      <c r="A70" s="21" t="s">
        <v>2404</v>
      </c>
      <c r="B70" s="22" t="s">
        <v>28</v>
      </c>
      <c r="C70" s="22" t="s">
        <v>2389</v>
      </c>
      <c r="D70" s="22" t="s">
        <v>2405</v>
      </c>
      <c r="E70" s="22" t="s">
        <v>2406</v>
      </c>
      <c r="F70" s="22" t="s">
        <v>2193</v>
      </c>
      <c r="G70" s="22" t="s">
        <v>165</v>
      </c>
      <c r="H70" s="23" t="s">
        <v>63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2194</v>
      </c>
    </row>
    <row r="71" ht="24" customHeight="1" spans="1:17" x14ac:dyDescent="0.25">
      <c r="A71" s="21" t="s">
        <v>2407</v>
      </c>
      <c r="B71" s="22" t="s">
        <v>28</v>
      </c>
      <c r="C71" s="22" t="s">
        <v>2389</v>
      </c>
      <c r="D71" s="22" t="s">
        <v>2408</v>
      </c>
      <c r="E71" s="22" t="s">
        <v>2409</v>
      </c>
      <c r="F71" s="22" t="s">
        <v>2198</v>
      </c>
      <c r="G71" s="22" t="s">
        <v>165</v>
      </c>
      <c r="H71" s="23" t="s">
        <v>63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2199</v>
      </c>
    </row>
    <row r="72" ht="24" customHeight="1" spans="1:17" x14ac:dyDescent="0.25">
      <c r="A72" s="21" t="s">
        <v>2410</v>
      </c>
      <c r="B72" s="22" t="s">
        <v>28</v>
      </c>
      <c r="C72" s="22" t="s">
        <v>2389</v>
      </c>
      <c r="D72" s="22" t="s">
        <v>2411</v>
      </c>
      <c r="E72" s="22" t="s">
        <v>2412</v>
      </c>
      <c r="F72" s="22" t="s">
        <v>2203</v>
      </c>
      <c r="G72" s="22" t="s">
        <v>79</v>
      </c>
      <c r="H72" s="23" t="s">
        <v>63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2204</v>
      </c>
    </row>
    <row r="73" ht="24" customHeight="1" spans="1:17" x14ac:dyDescent="0.25">
      <c r="A73" s="21" t="s">
        <v>2413</v>
      </c>
      <c r="B73" s="22" t="s">
        <v>28</v>
      </c>
      <c r="C73" s="22" t="s">
        <v>2389</v>
      </c>
      <c r="D73" s="22" t="s">
        <v>2414</v>
      </c>
      <c r="E73" s="22" t="s">
        <v>2415</v>
      </c>
      <c r="F73" s="22" t="s">
        <v>2208</v>
      </c>
      <c r="G73" s="22" t="s">
        <v>2209</v>
      </c>
      <c r="H73" s="26" t="s">
        <v>73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2210</v>
      </c>
    </row>
    <row r="74" ht="24" customHeight="1" spans="1:17" x14ac:dyDescent="0.25">
      <c r="A74" s="21" t="s">
        <v>2416</v>
      </c>
      <c r="B74" s="22" t="s">
        <v>28</v>
      </c>
      <c r="C74" s="22" t="s">
        <v>2389</v>
      </c>
      <c r="D74" s="22" t="s">
        <v>2417</v>
      </c>
      <c r="E74" s="22" t="s">
        <v>2418</v>
      </c>
      <c r="F74" s="22" t="s">
        <v>2214</v>
      </c>
      <c r="G74" s="22" t="s">
        <v>2168</v>
      </c>
      <c r="H74" s="23" t="s">
        <v>63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2215</v>
      </c>
    </row>
    <row r="75" ht="24" customHeight="1" spans="1:17" x14ac:dyDescent="0.25">
      <c r="A75" s="21" t="s">
        <v>2419</v>
      </c>
      <c r="B75" s="22" t="s">
        <v>28</v>
      </c>
      <c r="C75" s="22" t="s">
        <v>2389</v>
      </c>
      <c r="D75" s="22" t="s">
        <v>2420</v>
      </c>
      <c r="E75" s="22" t="s">
        <v>2421</v>
      </c>
      <c r="F75" s="22" t="s">
        <v>2219</v>
      </c>
      <c r="G75" s="22" t="s">
        <v>2168</v>
      </c>
      <c r="H75" s="23" t="s">
        <v>63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2220</v>
      </c>
    </row>
    <row r="76" ht="24" customHeight="1" spans="1:17" x14ac:dyDescent="0.25">
      <c r="A76" s="21" t="s">
        <v>2422</v>
      </c>
      <c r="B76" s="22" t="s">
        <v>28</v>
      </c>
      <c r="C76" s="22" t="s">
        <v>2389</v>
      </c>
      <c r="D76" s="22" t="s">
        <v>2423</v>
      </c>
      <c r="E76" s="22" t="s">
        <v>2424</v>
      </c>
      <c r="F76" s="22" t="s">
        <v>2224</v>
      </c>
      <c r="G76" s="22" t="s">
        <v>2168</v>
      </c>
      <c r="H76" s="23" t="s">
        <v>63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2225</v>
      </c>
    </row>
    <row r="77" ht="24" customHeight="1" spans="1:17" x14ac:dyDescent="0.25">
      <c r="A77" s="21" t="s">
        <v>2425</v>
      </c>
      <c r="B77" s="22" t="s">
        <v>28</v>
      </c>
      <c r="C77" s="22" t="s">
        <v>2389</v>
      </c>
      <c r="D77" s="22" t="s">
        <v>2426</v>
      </c>
      <c r="E77" s="22" t="s">
        <v>2427</v>
      </c>
      <c r="F77" s="22" t="s">
        <v>2229</v>
      </c>
      <c r="G77" s="22" t="s">
        <v>2168</v>
      </c>
      <c r="H77" s="23" t="s">
        <v>63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2230</v>
      </c>
    </row>
    <row r="78" ht="24" customHeight="1" spans="1:17" x14ac:dyDescent="0.25">
      <c r="A78" s="21" t="s">
        <v>2428</v>
      </c>
      <c r="B78" s="22" t="s">
        <v>28</v>
      </c>
      <c r="C78" s="22" t="s">
        <v>2389</v>
      </c>
      <c r="D78" s="22" t="s">
        <v>2429</v>
      </c>
      <c r="E78" s="22" t="s">
        <v>2430</v>
      </c>
      <c r="F78" s="22" t="s">
        <v>2234</v>
      </c>
      <c r="G78" s="22" t="s">
        <v>165</v>
      </c>
      <c r="H78" s="23" t="s">
        <v>63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2235</v>
      </c>
    </row>
    <row r="79" ht="24" customHeight="1" spans="1:17" x14ac:dyDescent="0.25">
      <c r="A79" s="21" t="s">
        <v>2431</v>
      </c>
      <c r="B79" s="22" t="s">
        <v>28</v>
      </c>
      <c r="C79" s="22" t="s">
        <v>2389</v>
      </c>
      <c r="D79" s="22" t="s">
        <v>2432</v>
      </c>
      <c r="E79" s="22" t="s">
        <v>2433</v>
      </c>
      <c r="F79" s="22" t="s">
        <v>2239</v>
      </c>
      <c r="G79" s="22" t="s">
        <v>2168</v>
      </c>
      <c r="H79" s="9" t="s">
        <v>101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2240</v>
      </c>
    </row>
    <row r="80" ht="24" customHeight="1" spans="1:17" x14ac:dyDescent="0.25">
      <c r="A80" s="21" t="s">
        <v>2434</v>
      </c>
      <c r="B80" s="22" t="s">
        <v>28</v>
      </c>
      <c r="C80" s="22" t="s">
        <v>2389</v>
      </c>
      <c r="D80" s="22" t="s">
        <v>2435</v>
      </c>
      <c r="E80" s="22" t="s">
        <v>2436</v>
      </c>
      <c r="F80" s="22" t="s">
        <v>2244</v>
      </c>
      <c r="G80" s="22" t="s">
        <v>1835</v>
      </c>
      <c r="H80" s="23" t="s">
        <v>63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2245</v>
      </c>
    </row>
    <row r="81" ht="24" customHeight="1" spans="1:17" x14ac:dyDescent="0.25">
      <c r="A81" s="21" t="s">
        <v>2437</v>
      </c>
      <c r="B81" s="22" t="s">
        <v>28</v>
      </c>
      <c r="C81" s="22" t="s">
        <v>2389</v>
      </c>
      <c r="D81" s="22" t="s">
        <v>2438</v>
      </c>
      <c r="E81" s="22" t="s">
        <v>2439</v>
      </c>
      <c r="F81" s="22" t="s">
        <v>2249</v>
      </c>
      <c r="G81" s="22" t="s">
        <v>1165</v>
      </c>
      <c r="H81" s="23" t="s">
        <v>63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2250</v>
      </c>
    </row>
    <row r="82" ht="24" customHeight="1" spans="1:17" x14ac:dyDescent="0.25">
      <c r="A82" s="21" t="s">
        <v>2440</v>
      </c>
      <c r="B82" s="22" t="s">
        <v>28</v>
      </c>
      <c r="C82" s="22" t="s">
        <v>2389</v>
      </c>
      <c r="D82" s="22" t="s">
        <v>2441</v>
      </c>
      <c r="E82" s="22" t="s">
        <v>2442</v>
      </c>
      <c r="F82" s="22" t="s">
        <v>2254</v>
      </c>
      <c r="G82" s="22" t="s">
        <v>1835</v>
      </c>
      <c r="H82" s="9" t="s">
        <v>101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2255</v>
      </c>
    </row>
    <row r="83" ht="24" customHeight="1" spans="1:17" x14ac:dyDescent="0.25">
      <c r="A83" s="21" t="s">
        <v>2443</v>
      </c>
      <c r="B83" s="22" t="s">
        <v>28</v>
      </c>
      <c r="C83" s="22" t="s">
        <v>2389</v>
      </c>
      <c r="D83" s="22" t="s">
        <v>2444</v>
      </c>
      <c r="E83" s="22" t="s">
        <v>2445</v>
      </c>
      <c r="F83" s="22" t="s">
        <v>2259</v>
      </c>
      <c r="G83" s="22" t="s">
        <v>165</v>
      </c>
      <c r="H83" s="23" t="s">
        <v>63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2260</v>
      </c>
    </row>
    <row r="84" ht="24" customHeight="1" spans="1:17" x14ac:dyDescent="0.25">
      <c r="A84" s="21" t="s">
        <v>2446</v>
      </c>
      <c r="B84" s="22" t="s">
        <v>28</v>
      </c>
      <c r="C84" s="22" t="s">
        <v>2389</v>
      </c>
      <c r="D84" s="22" t="s">
        <v>2447</v>
      </c>
      <c r="E84" s="22" t="s">
        <v>2448</v>
      </c>
      <c r="F84" s="22" t="s">
        <v>2264</v>
      </c>
      <c r="G84" s="22" t="s">
        <v>2168</v>
      </c>
      <c r="H84" s="23" t="s">
        <v>63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2265</v>
      </c>
    </row>
    <row r="85" ht="24" customHeight="1" spans="1:17" x14ac:dyDescent="0.25">
      <c r="A85" s="21" t="s">
        <v>2449</v>
      </c>
      <c r="B85" s="22" t="s">
        <v>28</v>
      </c>
      <c r="C85" s="22" t="s">
        <v>2450</v>
      </c>
      <c r="D85" s="22" t="s">
        <v>2451</v>
      </c>
      <c r="E85" s="22" t="s">
        <v>2452</v>
      </c>
      <c r="F85" s="22" t="s">
        <v>2167</v>
      </c>
      <c r="G85" s="22" t="s">
        <v>2168</v>
      </c>
      <c r="H85" s="26" t="s">
        <v>73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2169</v>
      </c>
    </row>
    <row r="86" ht="24" customHeight="1" spans="1:17" x14ac:dyDescent="0.25">
      <c r="A86" s="21" t="s">
        <v>2453</v>
      </c>
      <c r="B86" s="22" t="s">
        <v>28</v>
      </c>
      <c r="C86" s="22" t="s">
        <v>2450</v>
      </c>
      <c r="D86" s="22" t="s">
        <v>2454</v>
      </c>
      <c r="E86" s="22" t="s">
        <v>2455</v>
      </c>
      <c r="F86" s="22" t="s">
        <v>2173</v>
      </c>
      <c r="G86" s="22" t="s">
        <v>2168</v>
      </c>
      <c r="H86" s="23" t="s">
        <v>63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2174</v>
      </c>
    </row>
    <row r="87" ht="24" customHeight="1" spans="1:17" x14ac:dyDescent="0.25">
      <c r="A87" s="21" t="s">
        <v>2456</v>
      </c>
      <c r="B87" s="22" t="s">
        <v>28</v>
      </c>
      <c r="C87" s="22" t="s">
        <v>2450</v>
      </c>
      <c r="D87" s="22" t="s">
        <v>2457</v>
      </c>
      <c r="E87" s="22" t="s">
        <v>2458</v>
      </c>
      <c r="F87" s="22" t="s">
        <v>2178</v>
      </c>
      <c r="G87" s="22" t="s">
        <v>1835</v>
      </c>
      <c r="H87" s="23" t="s">
        <v>63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2179</v>
      </c>
    </row>
    <row r="88" ht="24" customHeight="1" spans="1:17" x14ac:dyDescent="0.25">
      <c r="A88" s="21" t="s">
        <v>2459</v>
      </c>
      <c r="B88" s="22" t="s">
        <v>28</v>
      </c>
      <c r="C88" s="22" t="s">
        <v>2450</v>
      </c>
      <c r="D88" s="22" t="s">
        <v>2460</v>
      </c>
      <c r="E88" s="22" t="s">
        <v>2461</v>
      </c>
      <c r="F88" s="22" t="s">
        <v>2183</v>
      </c>
      <c r="G88" s="22" t="s">
        <v>2168</v>
      </c>
      <c r="H88" s="26" t="s">
        <v>73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2184</v>
      </c>
    </row>
    <row r="89" ht="24" customHeight="1" spans="1:17" x14ac:dyDescent="0.25">
      <c r="A89" s="21" t="s">
        <v>2462</v>
      </c>
      <c r="B89" s="22" t="s">
        <v>28</v>
      </c>
      <c r="C89" s="22" t="s">
        <v>2450</v>
      </c>
      <c r="D89" s="22" t="s">
        <v>2463</v>
      </c>
      <c r="E89" s="22" t="s">
        <v>2464</v>
      </c>
      <c r="F89" s="22" t="s">
        <v>2188</v>
      </c>
      <c r="G89" s="22" t="s">
        <v>165</v>
      </c>
      <c r="H89" s="26" t="s">
        <v>73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2189</v>
      </c>
    </row>
    <row r="90" ht="24" customHeight="1" spans="1:17" x14ac:dyDescent="0.25">
      <c r="A90" s="21" t="s">
        <v>2465</v>
      </c>
      <c r="B90" s="22" t="s">
        <v>28</v>
      </c>
      <c r="C90" s="22" t="s">
        <v>2450</v>
      </c>
      <c r="D90" s="22" t="s">
        <v>2466</v>
      </c>
      <c r="E90" s="22" t="s">
        <v>2467</v>
      </c>
      <c r="F90" s="22" t="s">
        <v>2193</v>
      </c>
      <c r="G90" s="22" t="s">
        <v>165</v>
      </c>
      <c r="H90" s="23" t="s">
        <v>63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2194</v>
      </c>
    </row>
    <row r="91" ht="24" customHeight="1" spans="1:17" x14ac:dyDescent="0.25">
      <c r="A91" s="21" t="s">
        <v>2468</v>
      </c>
      <c r="B91" s="22" t="s">
        <v>28</v>
      </c>
      <c r="C91" s="22" t="s">
        <v>2450</v>
      </c>
      <c r="D91" s="22" t="s">
        <v>2469</v>
      </c>
      <c r="E91" s="22" t="s">
        <v>2470</v>
      </c>
      <c r="F91" s="22" t="s">
        <v>2198</v>
      </c>
      <c r="G91" s="22" t="s">
        <v>165</v>
      </c>
      <c r="H91" s="23" t="s">
        <v>63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2199</v>
      </c>
    </row>
    <row r="92" ht="24" customHeight="1" spans="1:17" x14ac:dyDescent="0.25">
      <c r="A92" s="21" t="s">
        <v>2471</v>
      </c>
      <c r="B92" s="22" t="s">
        <v>28</v>
      </c>
      <c r="C92" s="22" t="s">
        <v>2450</v>
      </c>
      <c r="D92" s="22" t="s">
        <v>2472</v>
      </c>
      <c r="E92" s="22" t="s">
        <v>2473</v>
      </c>
      <c r="F92" s="22" t="s">
        <v>2203</v>
      </c>
      <c r="G92" s="22" t="s">
        <v>79</v>
      </c>
      <c r="H92" s="23" t="s">
        <v>63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2204</v>
      </c>
    </row>
    <row r="93" ht="24" customHeight="1" spans="1:17" x14ac:dyDescent="0.25">
      <c r="A93" s="21" t="s">
        <v>2474</v>
      </c>
      <c r="B93" s="22" t="s">
        <v>28</v>
      </c>
      <c r="C93" s="22" t="s">
        <v>2450</v>
      </c>
      <c r="D93" s="22" t="s">
        <v>2475</v>
      </c>
      <c r="E93" s="22" t="s">
        <v>2476</v>
      </c>
      <c r="F93" s="22" t="s">
        <v>2208</v>
      </c>
      <c r="G93" s="22" t="s">
        <v>2209</v>
      </c>
      <c r="H93" s="26" t="s">
        <v>73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2210</v>
      </c>
    </row>
    <row r="94" ht="24" customHeight="1" spans="1:17" x14ac:dyDescent="0.25">
      <c r="A94" s="21" t="s">
        <v>2477</v>
      </c>
      <c r="B94" s="22" t="s">
        <v>28</v>
      </c>
      <c r="C94" s="22" t="s">
        <v>2450</v>
      </c>
      <c r="D94" s="22" t="s">
        <v>2478</v>
      </c>
      <c r="E94" s="22" t="s">
        <v>2479</v>
      </c>
      <c r="F94" s="22" t="s">
        <v>2214</v>
      </c>
      <c r="G94" s="22" t="s">
        <v>2168</v>
      </c>
      <c r="H94" s="23" t="s">
        <v>63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2215</v>
      </c>
    </row>
    <row r="95" ht="24" customHeight="1" spans="1:17" x14ac:dyDescent="0.25">
      <c r="A95" s="21" t="s">
        <v>2480</v>
      </c>
      <c r="B95" s="22" t="s">
        <v>28</v>
      </c>
      <c r="C95" s="22" t="s">
        <v>2450</v>
      </c>
      <c r="D95" s="22" t="s">
        <v>2481</v>
      </c>
      <c r="E95" s="22" t="s">
        <v>2482</v>
      </c>
      <c r="F95" s="22" t="s">
        <v>2219</v>
      </c>
      <c r="G95" s="22" t="s">
        <v>2168</v>
      </c>
      <c r="H95" s="23" t="s">
        <v>63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2220</v>
      </c>
    </row>
    <row r="96" ht="24" customHeight="1" spans="1:17" x14ac:dyDescent="0.25">
      <c r="A96" s="21" t="s">
        <v>2483</v>
      </c>
      <c r="B96" s="22" t="s">
        <v>28</v>
      </c>
      <c r="C96" s="22" t="s">
        <v>2450</v>
      </c>
      <c r="D96" s="22" t="s">
        <v>2484</v>
      </c>
      <c r="E96" s="22" t="s">
        <v>2485</v>
      </c>
      <c r="F96" s="22" t="s">
        <v>2224</v>
      </c>
      <c r="G96" s="22" t="s">
        <v>2168</v>
      </c>
      <c r="H96" s="23" t="s">
        <v>63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2225</v>
      </c>
    </row>
    <row r="97" ht="24" customHeight="1" spans="1:17" x14ac:dyDescent="0.25">
      <c r="A97" s="21" t="s">
        <v>2486</v>
      </c>
      <c r="B97" s="22" t="s">
        <v>28</v>
      </c>
      <c r="C97" s="22" t="s">
        <v>2450</v>
      </c>
      <c r="D97" s="22" t="s">
        <v>2487</v>
      </c>
      <c r="E97" s="22" t="s">
        <v>2488</v>
      </c>
      <c r="F97" s="22" t="s">
        <v>2229</v>
      </c>
      <c r="G97" s="22" t="s">
        <v>2168</v>
      </c>
      <c r="H97" s="23" t="s">
        <v>63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2230</v>
      </c>
    </row>
    <row r="98" ht="24" customHeight="1" spans="1:17" x14ac:dyDescent="0.25">
      <c r="A98" s="21" t="s">
        <v>2489</v>
      </c>
      <c r="B98" s="22" t="s">
        <v>28</v>
      </c>
      <c r="C98" s="22" t="s">
        <v>2450</v>
      </c>
      <c r="D98" s="22" t="s">
        <v>2490</v>
      </c>
      <c r="E98" s="22" t="s">
        <v>2491</v>
      </c>
      <c r="F98" s="22" t="s">
        <v>2234</v>
      </c>
      <c r="G98" s="22" t="s">
        <v>165</v>
      </c>
      <c r="H98" s="23" t="s">
        <v>63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2235</v>
      </c>
    </row>
    <row r="99" ht="24" customHeight="1" spans="1:17" x14ac:dyDescent="0.25">
      <c r="A99" s="21" t="s">
        <v>2492</v>
      </c>
      <c r="B99" s="22" t="s">
        <v>28</v>
      </c>
      <c r="C99" s="22" t="s">
        <v>2450</v>
      </c>
      <c r="D99" s="22" t="s">
        <v>2493</v>
      </c>
      <c r="E99" s="22" t="s">
        <v>2494</v>
      </c>
      <c r="F99" s="22" t="s">
        <v>2239</v>
      </c>
      <c r="G99" s="22" t="s">
        <v>2168</v>
      </c>
      <c r="H99" s="9" t="s">
        <v>101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2240</v>
      </c>
    </row>
    <row r="100" ht="24" customHeight="1" spans="1:17" x14ac:dyDescent="0.25">
      <c r="A100" s="21" t="s">
        <v>2495</v>
      </c>
      <c r="B100" s="22" t="s">
        <v>28</v>
      </c>
      <c r="C100" s="22" t="s">
        <v>2450</v>
      </c>
      <c r="D100" s="22" t="s">
        <v>2496</v>
      </c>
      <c r="E100" s="22" t="s">
        <v>2497</v>
      </c>
      <c r="F100" s="22" t="s">
        <v>2244</v>
      </c>
      <c r="G100" s="22" t="s">
        <v>1835</v>
      </c>
      <c r="H100" s="23" t="s">
        <v>63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2245</v>
      </c>
    </row>
    <row r="101" ht="24" customHeight="1" spans="1:17" x14ac:dyDescent="0.25">
      <c r="A101" s="21" t="s">
        <v>2498</v>
      </c>
      <c r="B101" s="22" t="s">
        <v>28</v>
      </c>
      <c r="C101" s="22" t="s">
        <v>2450</v>
      </c>
      <c r="D101" s="22" t="s">
        <v>2499</v>
      </c>
      <c r="E101" s="22" t="s">
        <v>2500</v>
      </c>
      <c r="F101" s="22" t="s">
        <v>2249</v>
      </c>
      <c r="G101" s="22" t="s">
        <v>1165</v>
      </c>
      <c r="H101" s="23" t="s">
        <v>63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2250</v>
      </c>
    </row>
    <row r="102" ht="24" customHeight="1" spans="1:17" x14ac:dyDescent="0.25">
      <c r="A102" s="21" t="s">
        <v>2501</v>
      </c>
      <c r="B102" s="22" t="s">
        <v>28</v>
      </c>
      <c r="C102" s="22" t="s">
        <v>2450</v>
      </c>
      <c r="D102" s="22" t="s">
        <v>2502</v>
      </c>
      <c r="E102" s="22" t="s">
        <v>2503</v>
      </c>
      <c r="F102" s="22" t="s">
        <v>2254</v>
      </c>
      <c r="G102" s="22" t="s">
        <v>1835</v>
      </c>
      <c r="H102" s="9" t="s">
        <v>101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2255</v>
      </c>
    </row>
    <row r="103" ht="24" customHeight="1" spans="1:17" x14ac:dyDescent="0.25">
      <c r="A103" s="21" t="s">
        <v>2504</v>
      </c>
      <c r="B103" s="22" t="s">
        <v>28</v>
      </c>
      <c r="C103" s="22" t="s">
        <v>2450</v>
      </c>
      <c r="D103" s="22" t="s">
        <v>2505</v>
      </c>
      <c r="E103" s="22" t="s">
        <v>2506</v>
      </c>
      <c r="F103" s="22" t="s">
        <v>2259</v>
      </c>
      <c r="G103" s="22" t="s">
        <v>165</v>
      </c>
      <c r="H103" s="23" t="s">
        <v>63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2260</v>
      </c>
    </row>
    <row r="104" ht="24" customHeight="1" spans="1:17" x14ac:dyDescent="0.25">
      <c r="A104" s="21" t="s">
        <v>2507</v>
      </c>
      <c r="B104" s="22" t="s">
        <v>28</v>
      </c>
      <c r="C104" s="22" t="s">
        <v>2450</v>
      </c>
      <c r="D104" s="22" t="s">
        <v>2508</v>
      </c>
      <c r="E104" s="22" t="s">
        <v>2509</v>
      </c>
      <c r="F104" s="22" t="s">
        <v>2264</v>
      </c>
      <c r="G104" s="22" t="s">
        <v>2168</v>
      </c>
      <c r="H104" s="23" t="s">
        <v>63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2265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34" t="s">
        <v>2510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ht="24" customHeight="1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2511</v>
      </c>
      <c r="B5" s="22" t="s">
        <v>30</v>
      </c>
      <c r="C5" s="22" t="s">
        <v>2512</v>
      </c>
      <c r="D5" s="22" t="s">
        <v>2513</v>
      </c>
      <c r="E5" s="22" t="s">
        <v>2514</v>
      </c>
      <c r="F5" s="22" t="s">
        <v>2515</v>
      </c>
      <c r="G5" s="22" t="s">
        <v>2516</v>
      </c>
      <c r="H5" s="26" t="s">
        <v>73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2517</v>
      </c>
    </row>
    <row r="6" ht="24" customHeight="1" spans="1:17" x14ac:dyDescent="0.25">
      <c r="A6" s="21" t="s">
        <v>2518</v>
      </c>
      <c r="B6" s="22" t="s">
        <v>30</v>
      </c>
      <c r="C6" s="22" t="s">
        <v>2512</v>
      </c>
      <c r="D6" s="22" t="s">
        <v>2519</v>
      </c>
      <c r="E6" s="22" t="s">
        <v>2520</v>
      </c>
      <c r="F6" s="22" t="s">
        <v>2521</v>
      </c>
      <c r="G6" s="22" t="s">
        <v>2522</v>
      </c>
      <c r="H6" s="26" t="s">
        <v>73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2523</v>
      </c>
    </row>
    <row r="7" ht="24" customHeight="1" spans="1:17" x14ac:dyDescent="0.25">
      <c r="A7" s="21" t="s">
        <v>2524</v>
      </c>
      <c r="B7" s="22" t="s">
        <v>30</v>
      </c>
      <c r="C7" s="22" t="s">
        <v>2512</v>
      </c>
      <c r="D7" s="22" t="s">
        <v>2525</v>
      </c>
      <c r="E7" s="22" t="s">
        <v>2526</v>
      </c>
      <c r="F7" s="22" t="s">
        <v>2527</v>
      </c>
      <c r="G7" s="22" t="s">
        <v>127</v>
      </c>
      <c r="H7" s="23" t="s">
        <v>63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2528</v>
      </c>
    </row>
    <row r="8" ht="24" customHeight="1" spans="1:17" x14ac:dyDescent="0.25">
      <c r="A8" s="21" t="s">
        <v>2529</v>
      </c>
      <c r="B8" s="22" t="s">
        <v>30</v>
      </c>
      <c r="C8" s="22" t="s">
        <v>2512</v>
      </c>
      <c r="D8" s="22" t="s">
        <v>2530</v>
      </c>
      <c r="E8" s="22" t="s">
        <v>2531</v>
      </c>
      <c r="F8" s="22" t="s">
        <v>2532</v>
      </c>
      <c r="G8" s="22" t="s">
        <v>2533</v>
      </c>
      <c r="H8" s="26" t="s">
        <v>73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2534</v>
      </c>
    </row>
    <row r="9" ht="24" customHeight="1" spans="1:17" x14ac:dyDescent="0.25">
      <c r="A9" s="21" t="s">
        <v>2535</v>
      </c>
      <c r="B9" s="22" t="s">
        <v>30</v>
      </c>
      <c r="C9" s="22" t="s">
        <v>2512</v>
      </c>
      <c r="D9" s="22" t="s">
        <v>2536</v>
      </c>
      <c r="E9" s="22" t="s">
        <v>2537</v>
      </c>
      <c r="F9" s="22" t="s">
        <v>2538</v>
      </c>
      <c r="G9" s="22" t="s">
        <v>2539</v>
      </c>
      <c r="H9" s="26" t="s">
        <v>73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2540</v>
      </c>
    </row>
    <row r="10" ht="24" customHeight="1" spans="1:17" x14ac:dyDescent="0.25">
      <c r="A10" s="21" t="s">
        <v>2541</v>
      </c>
      <c r="B10" s="22" t="s">
        <v>30</v>
      </c>
      <c r="C10" s="22" t="s">
        <v>2512</v>
      </c>
      <c r="D10" s="22" t="s">
        <v>2542</v>
      </c>
      <c r="E10" s="22" t="s">
        <v>2543</v>
      </c>
      <c r="F10" s="22" t="s">
        <v>2544</v>
      </c>
      <c r="G10" s="22" t="s">
        <v>2533</v>
      </c>
      <c r="H10" s="23" t="s">
        <v>63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2545</v>
      </c>
    </row>
    <row r="11" ht="24" customHeight="1" spans="1:17" x14ac:dyDescent="0.25">
      <c r="A11" s="21" t="s">
        <v>2546</v>
      </c>
      <c r="B11" s="22" t="s">
        <v>30</v>
      </c>
      <c r="C11" s="22" t="s">
        <v>2512</v>
      </c>
      <c r="D11" s="22" t="s">
        <v>2547</v>
      </c>
      <c r="E11" s="22" t="s">
        <v>2548</v>
      </c>
      <c r="F11" s="22" t="s">
        <v>2549</v>
      </c>
      <c r="G11" s="22" t="s">
        <v>2533</v>
      </c>
      <c r="H11" s="23" t="s">
        <v>63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2550</v>
      </c>
    </row>
    <row r="12" ht="24" customHeight="1" spans="1:17" x14ac:dyDescent="0.25">
      <c r="A12" s="21" t="s">
        <v>2551</v>
      </c>
      <c r="B12" s="22" t="s">
        <v>30</v>
      </c>
      <c r="C12" s="22" t="s">
        <v>2512</v>
      </c>
      <c r="D12" s="22" t="s">
        <v>2552</v>
      </c>
      <c r="E12" s="22" t="s">
        <v>2553</v>
      </c>
      <c r="F12" s="22" t="s">
        <v>2554</v>
      </c>
      <c r="G12" s="22" t="s">
        <v>2555</v>
      </c>
      <c r="H12" s="26" t="s">
        <v>73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2556</v>
      </c>
    </row>
    <row r="13" ht="24" customHeight="1" spans="1:17" x14ac:dyDescent="0.25">
      <c r="A13" s="21" t="s">
        <v>2557</v>
      </c>
      <c r="B13" s="22" t="s">
        <v>30</v>
      </c>
      <c r="C13" s="22" t="s">
        <v>2512</v>
      </c>
      <c r="D13" s="22" t="s">
        <v>2558</v>
      </c>
      <c r="E13" s="22" t="s">
        <v>2559</v>
      </c>
      <c r="F13" s="22" t="s">
        <v>2560</v>
      </c>
      <c r="G13" s="22" t="s">
        <v>2533</v>
      </c>
      <c r="H13" s="23" t="s">
        <v>63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2561</v>
      </c>
    </row>
    <row r="14" ht="24" customHeight="1" spans="1:17" x14ac:dyDescent="0.25">
      <c r="A14" s="21" t="s">
        <v>2562</v>
      </c>
      <c r="B14" s="22" t="s">
        <v>30</v>
      </c>
      <c r="C14" s="22" t="s">
        <v>2512</v>
      </c>
      <c r="D14" s="22" t="s">
        <v>2563</v>
      </c>
      <c r="E14" s="22" t="s">
        <v>2564</v>
      </c>
      <c r="F14" s="22" t="s">
        <v>2565</v>
      </c>
      <c r="G14" s="22" t="s">
        <v>85</v>
      </c>
      <c r="H14" s="9" t="s">
        <v>101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2566</v>
      </c>
    </row>
    <row r="15" ht="24" customHeight="1" spans="1:17" x14ac:dyDescent="0.25">
      <c r="A15" s="21" t="s">
        <v>2567</v>
      </c>
      <c r="B15" s="22" t="s">
        <v>30</v>
      </c>
      <c r="C15" s="22" t="s">
        <v>2512</v>
      </c>
      <c r="D15" s="22" t="s">
        <v>2568</v>
      </c>
      <c r="E15" s="22" t="s">
        <v>2569</v>
      </c>
      <c r="F15" s="22" t="s">
        <v>2570</v>
      </c>
      <c r="G15" s="22" t="s">
        <v>2533</v>
      </c>
      <c r="H15" s="23" t="s">
        <v>63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2571</v>
      </c>
    </row>
    <row r="16" ht="24" customHeight="1" spans="1:17" x14ac:dyDescent="0.25">
      <c r="A16" s="21" t="s">
        <v>2572</v>
      </c>
      <c r="B16" s="22" t="s">
        <v>30</v>
      </c>
      <c r="C16" s="22" t="s">
        <v>2512</v>
      </c>
      <c r="D16" s="22" t="s">
        <v>2573</v>
      </c>
      <c r="E16" s="22" t="s">
        <v>2574</v>
      </c>
      <c r="F16" s="22" t="s">
        <v>2575</v>
      </c>
      <c r="G16" s="22" t="s">
        <v>2576</v>
      </c>
      <c r="H16" s="23" t="s">
        <v>63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2577</v>
      </c>
    </row>
    <row r="17" ht="24" customHeight="1" spans="1:17" x14ac:dyDescent="0.25">
      <c r="A17" s="21" t="s">
        <v>2578</v>
      </c>
      <c r="B17" s="22" t="s">
        <v>30</v>
      </c>
      <c r="C17" s="22" t="s">
        <v>2512</v>
      </c>
      <c r="D17" s="22" t="s">
        <v>2579</v>
      </c>
      <c r="E17" s="22" t="s">
        <v>2580</v>
      </c>
      <c r="F17" s="22" t="s">
        <v>2581</v>
      </c>
      <c r="G17" s="22" t="s">
        <v>2516</v>
      </c>
      <c r="H17" s="23" t="s">
        <v>63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2582</v>
      </c>
    </row>
    <row r="18" ht="24" customHeight="1" spans="1:17" x14ac:dyDescent="0.25">
      <c r="A18" s="21" t="s">
        <v>2583</v>
      </c>
      <c r="B18" s="22" t="s">
        <v>30</v>
      </c>
      <c r="C18" s="22" t="s">
        <v>2512</v>
      </c>
      <c r="D18" s="22" t="s">
        <v>2584</v>
      </c>
      <c r="E18" s="22" t="s">
        <v>2585</v>
      </c>
      <c r="F18" s="22" t="s">
        <v>2586</v>
      </c>
      <c r="G18" s="22" t="s">
        <v>165</v>
      </c>
      <c r="H18" s="23" t="s">
        <v>63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2587</v>
      </c>
    </row>
    <row r="19" ht="24" customHeight="1" spans="1:17" x14ac:dyDescent="0.25">
      <c r="A19" s="21" t="s">
        <v>2588</v>
      </c>
      <c r="B19" s="22" t="s">
        <v>30</v>
      </c>
      <c r="C19" s="22" t="s">
        <v>2512</v>
      </c>
      <c r="D19" s="22" t="s">
        <v>2589</v>
      </c>
      <c r="E19" s="22" t="s">
        <v>2590</v>
      </c>
      <c r="F19" s="22" t="s">
        <v>2591</v>
      </c>
      <c r="G19" s="22" t="s">
        <v>2539</v>
      </c>
      <c r="H19" s="23" t="s">
        <v>63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2592</v>
      </c>
    </row>
    <row r="20" ht="24" customHeight="1" spans="1:17" x14ac:dyDescent="0.25">
      <c r="A20" s="21" t="s">
        <v>2593</v>
      </c>
      <c r="B20" s="22" t="s">
        <v>30</v>
      </c>
      <c r="C20" s="22" t="s">
        <v>2512</v>
      </c>
      <c r="D20" s="22" t="s">
        <v>2594</v>
      </c>
      <c r="E20" s="22" t="s">
        <v>2595</v>
      </c>
      <c r="F20" s="22" t="s">
        <v>2596</v>
      </c>
      <c r="G20" s="22" t="s">
        <v>2597</v>
      </c>
      <c r="H20" s="23" t="s">
        <v>63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2598</v>
      </c>
    </row>
    <row r="21" ht="24" customHeight="1" spans="1:17" x14ac:dyDescent="0.25">
      <c r="A21" s="21" t="s">
        <v>2599</v>
      </c>
      <c r="B21" s="22" t="s">
        <v>30</v>
      </c>
      <c r="C21" s="22" t="s">
        <v>2512</v>
      </c>
      <c r="D21" s="22" t="s">
        <v>2600</v>
      </c>
      <c r="E21" s="22" t="s">
        <v>2601</v>
      </c>
      <c r="F21" s="22" t="s">
        <v>2602</v>
      </c>
      <c r="G21" s="22" t="s">
        <v>2533</v>
      </c>
      <c r="H21" s="9" t="s">
        <v>101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2603</v>
      </c>
    </row>
    <row r="22" ht="24" customHeight="1" spans="1:17" x14ac:dyDescent="0.25">
      <c r="A22" s="21" t="s">
        <v>2604</v>
      </c>
      <c r="B22" s="22" t="s">
        <v>30</v>
      </c>
      <c r="C22" s="22" t="s">
        <v>2512</v>
      </c>
      <c r="D22" s="22" t="s">
        <v>2605</v>
      </c>
      <c r="E22" s="22" t="s">
        <v>2606</v>
      </c>
      <c r="F22" s="22" t="s">
        <v>2607</v>
      </c>
      <c r="G22" s="22" t="s">
        <v>2516</v>
      </c>
      <c r="H22" s="23" t="s">
        <v>63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2608</v>
      </c>
    </row>
    <row r="23" ht="24" customHeight="1" spans="1:17" x14ac:dyDescent="0.25">
      <c r="A23" s="21" t="s">
        <v>2609</v>
      </c>
      <c r="B23" s="22" t="s">
        <v>30</v>
      </c>
      <c r="C23" s="22" t="s">
        <v>2512</v>
      </c>
      <c r="D23" s="22" t="s">
        <v>2610</v>
      </c>
      <c r="E23" s="22" t="s">
        <v>2611</v>
      </c>
      <c r="F23" s="22" t="s">
        <v>2612</v>
      </c>
      <c r="G23" s="22" t="s">
        <v>154</v>
      </c>
      <c r="H23" s="23" t="s">
        <v>63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2613</v>
      </c>
    </row>
    <row r="24" ht="24" customHeight="1" spans="1:17" x14ac:dyDescent="0.25">
      <c r="A24" s="21" t="s">
        <v>2614</v>
      </c>
      <c r="B24" s="22" t="s">
        <v>30</v>
      </c>
      <c r="C24" s="22" t="s">
        <v>2512</v>
      </c>
      <c r="D24" s="22" t="s">
        <v>2615</v>
      </c>
      <c r="E24" s="22" t="s">
        <v>2616</v>
      </c>
      <c r="F24" s="22" t="s">
        <v>2617</v>
      </c>
      <c r="G24" s="22" t="s">
        <v>85</v>
      </c>
      <c r="H24" s="23" t="s">
        <v>63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2618</v>
      </c>
    </row>
    <row r="25" ht="24" customHeight="1" spans="1:17" x14ac:dyDescent="0.25">
      <c r="A25" s="21" t="s">
        <v>2619</v>
      </c>
      <c r="B25" s="22" t="s">
        <v>30</v>
      </c>
      <c r="C25" s="22" t="s">
        <v>2620</v>
      </c>
      <c r="D25" s="22" t="s">
        <v>2621</v>
      </c>
      <c r="E25" s="22" t="s">
        <v>2622</v>
      </c>
      <c r="F25" s="22" t="s">
        <v>2515</v>
      </c>
      <c r="G25" s="22" t="s">
        <v>2516</v>
      </c>
      <c r="H25" s="26" t="s">
        <v>73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2517</v>
      </c>
    </row>
    <row r="26" ht="24" customHeight="1" spans="1:17" x14ac:dyDescent="0.25">
      <c r="A26" s="21" t="s">
        <v>2623</v>
      </c>
      <c r="B26" s="22" t="s">
        <v>30</v>
      </c>
      <c r="C26" s="22" t="s">
        <v>2620</v>
      </c>
      <c r="D26" s="22" t="s">
        <v>2624</v>
      </c>
      <c r="E26" s="22" t="s">
        <v>2625</v>
      </c>
      <c r="F26" s="22" t="s">
        <v>2521</v>
      </c>
      <c r="G26" s="22" t="s">
        <v>2522</v>
      </c>
      <c r="H26" s="26" t="s">
        <v>73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2523</v>
      </c>
    </row>
    <row r="27" ht="24" customHeight="1" spans="1:17" x14ac:dyDescent="0.25">
      <c r="A27" s="21" t="s">
        <v>2626</v>
      </c>
      <c r="B27" s="22" t="s">
        <v>30</v>
      </c>
      <c r="C27" s="22" t="s">
        <v>2620</v>
      </c>
      <c r="D27" s="22" t="s">
        <v>2627</v>
      </c>
      <c r="E27" s="22" t="s">
        <v>2628</v>
      </c>
      <c r="F27" s="22" t="s">
        <v>2527</v>
      </c>
      <c r="G27" s="22" t="s">
        <v>127</v>
      </c>
      <c r="H27" s="23" t="s">
        <v>63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2528</v>
      </c>
    </row>
    <row r="28" ht="24" customHeight="1" spans="1:17" x14ac:dyDescent="0.25">
      <c r="A28" s="21" t="s">
        <v>2629</v>
      </c>
      <c r="B28" s="22" t="s">
        <v>30</v>
      </c>
      <c r="C28" s="22" t="s">
        <v>2620</v>
      </c>
      <c r="D28" s="22" t="s">
        <v>2630</v>
      </c>
      <c r="E28" s="22" t="s">
        <v>2631</v>
      </c>
      <c r="F28" s="22" t="s">
        <v>2532</v>
      </c>
      <c r="G28" s="22" t="s">
        <v>2533</v>
      </c>
      <c r="H28" s="26" t="s">
        <v>73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2534</v>
      </c>
    </row>
    <row r="29" ht="24" customHeight="1" spans="1:17" x14ac:dyDescent="0.25">
      <c r="A29" s="21" t="s">
        <v>2632</v>
      </c>
      <c r="B29" s="22" t="s">
        <v>30</v>
      </c>
      <c r="C29" s="22" t="s">
        <v>2620</v>
      </c>
      <c r="D29" s="22" t="s">
        <v>2633</v>
      </c>
      <c r="E29" s="22" t="s">
        <v>2634</v>
      </c>
      <c r="F29" s="22" t="s">
        <v>2538</v>
      </c>
      <c r="G29" s="22" t="s">
        <v>2539</v>
      </c>
      <c r="H29" s="26" t="s">
        <v>73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2540</v>
      </c>
    </row>
    <row r="30" ht="24" customHeight="1" spans="1:17" x14ac:dyDescent="0.25">
      <c r="A30" s="21" t="s">
        <v>2635</v>
      </c>
      <c r="B30" s="22" t="s">
        <v>30</v>
      </c>
      <c r="C30" s="22" t="s">
        <v>2620</v>
      </c>
      <c r="D30" s="22" t="s">
        <v>2636</v>
      </c>
      <c r="E30" s="22" t="s">
        <v>2637</v>
      </c>
      <c r="F30" s="22" t="s">
        <v>2544</v>
      </c>
      <c r="G30" s="22" t="s">
        <v>2533</v>
      </c>
      <c r="H30" s="23" t="s">
        <v>63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2545</v>
      </c>
    </row>
    <row r="31" ht="24" customHeight="1" spans="1:17" x14ac:dyDescent="0.25">
      <c r="A31" s="21" t="s">
        <v>2638</v>
      </c>
      <c r="B31" s="22" t="s">
        <v>30</v>
      </c>
      <c r="C31" s="22" t="s">
        <v>2620</v>
      </c>
      <c r="D31" s="22" t="s">
        <v>2639</v>
      </c>
      <c r="E31" s="22" t="s">
        <v>2640</v>
      </c>
      <c r="F31" s="22" t="s">
        <v>2549</v>
      </c>
      <c r="G31" s="22" t="s">
        <v>2533</v>
      </c>
      <c r="H31" s="23" t="s">
        <v>63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2550</v>
      </c>
    </row>
    <row r="32" ht="24" customHeight="1" spans="1:17" x14ac:dyDescent="0.25">
      <c r="A32" s="21" t="s">
        <v>2641</v>
      </c>
      <c r="B32" s="22" t="s">
        <v>30</v>
      </c>
      <c r="C32" s="22" t="s">
        <v>2620</v>
      </c>
      <c r="D32" s="22" t="s">
        <v>2642</v>
      </c>
      <c r="E32" s="22" t="s">
        <v>2643</v>
      </c>
      <c r="F32" s="22" t="s">
        <v>2554</v>
      </c>
      <c r="G32" s="22" t="s">
        <v>2555</v>
      </c>
      <c r="H32" s="26" t="s">
        <v>73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2556</v>
      </c>
    </row>
    <row r="33" ht="24" customHeight="1" spans="1:17" x14ac:dyDescent="0.25">
      <c r="A33" s="21" t="s">
        <v>2644</v>
      </c>
      <c r="B33" s="22" t="s">
        <v>30</v>
      </c>
      <c r="C33" s="22" t="s">
        <v>2620</v>
      </c>
      <c r="D33" s="22" t="s">
        <v>2645</v>
      </c>
      <c r="E33" s="22" t="s">
        <v>2646</v>
      </c>
      <c r="F33" s="22" t="s">
        <v>2560</v>
      </c>
      <c r="G33" s="22" t="s">
        <v>2533</v>
      </c>
      <c r="H33" s="23" t="s">
        <v>63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2561</v>
      </c>
    </row>
    <row r="34" ht="24" customHeight="1" spans="1:17" x14ac:dyDescent="0.25">
      <c r="A34" s="21" t="s">
        <v>2647</v>
      </c>
      <c r="B34" s="22" t="s">
        <v>30</v>
      </c>
      <c r="C34" s="22" t="s">
        <v>2620</v>
      </c>
      <c r="D34" s="22" t="s">
        <v>2648</v>
      </c>
      <c r="E34" s="22" t="s">
        <v>2649</v>
      </c>
      <c r="F34" s="22" t="s">
        <v>2565</v>
      </c>
      <c r="G34" s="22" t="s">
        <v>85</v>
      </c>
      <c r="H34" s="9" t="s">
        <v>101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2566</v>
      </c>
    </row>
    <row r="35" ht="24" customHeight="1" spans="1:17" x14ac:dyDescent="0.25">
      <c r="A35" s="21" t="s">
        <v>2650</v>
      </c>
      <c r="B35" s="22" t="s">
        <v>30</v>
      </c>
      <c r="C35" s="22" t="s">
        <v>2620</v>
      </c>
      <c r="D35" s="22" t="s">
        <v>2651</v>
      </c>
      <c r="E35" s="22" t="s">
        <v>2652</v>
      </c>
      <c r="F35" s="22" t="s">
        <v>2570</v>
      </c>
      <c r="G35" s="22" t="s">
        <v>2533</v>
      </c>
      <c r="H35" s="23" t="s">
        <v>63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2571</v>
      </c>
    </row>
    <row r="36" ht="24" customHeight="1" spans="1:17" x14ac:dyDescent="0.25">
      <c r="A36" s="21" t="s">
        <v>2653</v>
      </c>
      <c r="B36" s="22" t="s">
        <v>30</v>
      </c>
      <c r="C36" s="22" t="s">
        <v>2620</v>
      </c>
      <c r="D36" s="22" t="s">
        <v>2654</v>
      </c>
      <c r="E36" s="22" t="s">
        <v>2655</v>
      </c>
      <c r="F36" s="22" t="s">
        <v>2575</v>
      </c>
      <c r="G36" s="22" t="s">
        <v>2576</v>
      </c>
      <c r="H36" s="23" t="s">
        <v>63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2577</v>
      </c>
    </row>
    <row r="37" ht="24" customHeight="1" spans="1:17" x14ac:dyDescent="0.25">
      <c r="A37" s="21" t="s">
        <v>2656</v>
      </c>
      <c r="B37" s="22" t="s">
        <v>30</v>
      </c>
      <c r="C37" s="22" t="s">
        <v>2620</v>
      </c>
      <c r="D37" s="22" t="s">
        <v>2657</v>
      </c>
      <c r="E37" s="22" t="s">
        <v>2658</v>
      </c>
      <c r="F37" s="22" t="s">
        <v>2581</v>
      </c>
      <c r="G37" s="22" t="s">
        <v>2516</v>
      </c>
      <c r="H37" s="23" t="s">
        <v>63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2582</v>
      </c>
    </row>
    <row r="38" ht="24" customHeight="1" spans="1:17" x14ac:dyDescent="0.25">
      <c r="A38" s="21" t="s">
        <v>2659</v>
      </c>
      <c r="B38" s="22" t="s">
        <v>30</v>
      </c>
      <c r="C38" s="22" t="s">
        <v>2620</v>
      </c>
      <c r="D38" s="22" t="s">
        <v>2660</v>
      </c>
      <c r="E38" s="22" t="s">
        <v>2661</v>
      </c>
      <c r="F38" s="22" t="s">
        <v>2586</v>
      </c>
      <c r="G38" s="22" t="s">
        <v>165</v>
      </c>
      <c r="H38" s="23" t="s">
        <v>63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2587</v>
      </c>
    </row>
    <row r="39" ht="24" customHeight="1" spans="1:17" x14ac:dyDescent="0.25">
      <c r="A39" s="21" t="s">
        <v>2662</v>
      </c>
      <c r="B39" s="22" t="s">
        <v>30</v>
      </c>
      <c r="C39" s="22" t="s">
        <v>2620</v>
      </c>
      <c r="D39" s="22" t="s">
        <v>2663</v>
      </c>
      <c r="E39" s="22" t="s">
        <v>2664</v>
      </c>
      <c r="F39" s="22" t="s">
        <v>2591</v>
      </c>
      <c r="G39" s="22" t="s">
        <v>2539</v>
      </c>
      <c r="H39" s="23" t="s">
        <v>63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2592</v>
      </c>
    </row>
    <row r="40" ht="24" customHeight="1" spans="1:17" x14ac:dyDescent="0.25">
      <c r="A40" s="21" t="s">
        <v>2665</v>
      </c>
      <c r="B40" s="22" t="s">
        <v>30</v>
      </c>
      <c r="C40" s="22" t="s">
        <v>2620</v>
      </c>
      <c r="D40" s="22" t="s">
        <v>2666</v>
      </c>
      <c r="E40" s="22" t="s">
        <v>2667</v>
      </c>
      <c r="F40" s="22" t="s">
        <v>2596</v>
      </c>
      <c r="G40" s="22" t="s">
        <v>2597</v>
      </c>
      <c r="H40" s="23" t="s">
        <v>63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2598</v>
      </c>
    </row>
    <row r="41" ht="24" customHeight="1" spans="1:17" x14ac:dyDescent="0.25">
      <c r="A41" s="21" t="s">
        <v>2668</v>
      </c>
      <c r="B41" s="22" t="s">
        <v>30</v>
      </c>
      <c r="C41" s="22" t="s">
        <v>2620</v>
      </c>
      <c r="D41" s="22" t="s">
        <v>2669</v>
      </c>
      <c r="E41" s="22" t="s">
        <v>2670</v>
      </c>
      <c r="F41" s="22" t="s">
        <v>2602</v>
      </c>
      <c r="G41" s="22" t="s">
        <v>2533</v>
      </c>
      <c r="H41" s="9" t="s">
        <v>101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2603</v>
      </c>
    </row>
    <row r="42" ht="24" customHeight="1" spans="1:17" x14ac:dyDescent="0.25">
      <c r="A42" s="21" t="s">
        <v>2671</v>
      </c>
      <c r="B42" s="22" t="s">
        <v>30</v>
      </c>
      <c r="C42" s="22" t="s">
        <v>2620</v>
      </c>
      <c r="D42" s="22" t="s">
        <v>2672</v>
      </c>
      <c r="E42" s="22" t="s">
        <v>2673</v>
      </c>
      <c r="F42" s="22" t="s">
        <v>2607</v>
      </c>
      <c r="G42" s="22" t="s">
        <v>2516</v>
      </c>
      <c r="H42" s="23" t="s">
        <v>63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2608</v>
      </c>
    </row>
    <row r="43" ht="24" customHeight="1" spans="1:17" x14ac:dyDescent="0.25">
      <c r="A43" s="21" t="s">
        <v>2674</v>
      </c>
      <c r="B43" s="22" t="s">
        <v>30</v>
      </c>
      <c r="C43" s="22" t="s">
        <v>2620</v>
      </c>
      <c r="D43" s="22" t="s">
        <v>2675</v>
      </c>
      <c r="E43" s="22" t="s">
        <v>2676</v>
      </c>
      <c r="F43" s="22" t="s">
        <v>2612</v>
      </c>
      <c r="G43" s="22" t="s">
        <v>154</v>
      </c>
      <c r="H43" s="23" t="s">
        <v>63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2613</v>
      </c>
    </row>
    <row r="44" ht="24" customHeight="1" spans="1:17" x14ac:dyDescent="0.25">
      <c r="A44" s="21" t="s">
        <v>2677</v>
      </c>
      <c r="B44" s="22" t="s">
        <v>30</v>
      </c>
      <c r="C44" s="22" t="s">
        <v>2620</v>
      </c>
      <c r="D44" s="22" t="s">
        <v>2678</v>
      </c>
      <c r="E44" s="22" t="s">
        <v>2679</v>
      </c>
      <c r="F44" s="22" t="s">
        <v>2617</v>
      </c>
      <c r="G44" s="22" t="s">
        <v>85</v>
      </c>
      <c r="H44" s="23" t="s">
        <v>63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2618</v>
      </c>
    </row>
    <row r="45" ht="24" customHeight="1" spans="1:17" x14ac:dyDescent="0.25">
      <c r="A45" s="21" t="s">
        <v>2680</v>
      </c>
      <c r="B45" s="22" t="s">
        <v>30</v>
      </c>
      <c r="C45" s="22" t="s">
        <v>2681</v>
      </c>
      <c r="D45" s="22" t="s">
        <v>2682</v>
      </c>
      <c r="E45" s="22" t="s">
        <v>2683</v>
      </c>
      <c r="F45" s="22" t="s">
        <v>2515</v>
      </c>
      <c r="G45" s="22" t="s">
        <v>2516</v>
      </c>
      <c r="H45" s="26" t="s">
        <v>73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2517</v>
      </c>
    </row>
    <row r="46" ht="24" customHeight="1" spans="1:17" x14ac:dyDescent="0.25">
      <c r="A46" s="21" t="s">
        <v>2684</v>
      </c>
      <c r="B46" s="22" t="s">
        <v>30</v>
      </c>
      <c r="C46" s="22" t="s">
        <v>2681</v>
      </c>
      <c r="D46" s="22" t="s">
        <v>2685</v>
      </c>
      <c r="E46" s="22" t="s">
        <v>2686</v>
      </c>
      <c r="F46" s="22" t="s">
        <v>2521</v>
      </c>
      <c r="G46" s="22" t="s">
        <v>2522</v>
      </c>
      <c r="H46" s="26" t="s">
        <v>73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2523</v>
      </c>
    </row>
    <row r="47" ht="24" customHeight="1" spans="1:17" x14ac:dyDescent="0.25">
      <c r="A47" s="21" t="s">
        <v>2687</v>
      </c>
      <c r="B47" s="22" t="s">
        <v>30</v>
      </c>
      <c r="C47" s="22" t="s">
        <v>2681</v>
      </c>
      <c r="D47" s="22" t="s">
        <v>2688</v>
      </c>
      <c r="E47" s="22" t="s">
        <v>2689</v>
      </c>
      <c r="F47" s="22" t="s">
        <v>2527</v>
      </c>
      <c r="G47" s="22" t="s">
        <v>127</v>
      </c>
      <c r="H47" s="23" t="s">
        <v>63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2528</v>
      </c>
    </row>
    <row r="48" ht="24" customHeight="1" spans="1:17" x14ac:dyDescent="0.25">
      <c r="A48" s="21" t="s">
        <v>2690</v>
      </c>
      <c r="B48" s="22" t="s">
        <v>30</v>
      </c>
      <c r="C48" s="22" t="s">
        <v>2681</v>
      </c>
      <c r="D48" s="22" t="s">
        <v>2691</v>
      </c>
      <c r="E48" s="22" t="s">
        <v>2692</v>
      </c>
      <c r="F48" s="22" t="s">
        <v>2532</v>
      </c>
      <c r="G48" s="22" t="s">
        <v>2533</v>
      </c>
      <c r="H48" s="26" t="s">
        <v>73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2534</v>
      </c>
    </row>
    <row r="49" ht="24" customHeight="1" spans="1:17" x14ac:dyDescent="0.25">
      <c r="A49" s="21" t="s">
        <v>2693</v>
      </c>
      <c r="B49" s="22" t="s">
        <v>30</v>
      </c>
      <c r="C49" s="22" t="s">
        <v>2681</v>
      </c>
      <c r="D49" s="22" t="s">
        <v>2694</v>
      </c>
      <c r="E49" s="22" t="s">
        <v>2695</v>
      </c>
      <c r="F49" s="22" t="s">
        <v>2538</v>
      </c>
      <c r="G49" s="22" t="s">
        <v>2539</v>
      </c>
      <c r="H49" s="26" t="s">
        <v>73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2540</v>
      </c>
    </row>
    <row r="50" ht="24" customHeight="1" spans="1:17" x14ac:dyDescent="0.25">
      <c r="A50" s="21" t="s">
        <v>2696</v>
      </c>
      <c r="B50" s="22" t="s">
        <v>30</v>
      </c>
      <c r="C50" s="22" t="s">
        <v>2681</v>
      </c>
      <c r="D50" s="22" t="s">
        <v>2697</v>
      </c>
      <c r="E50" s="22" t="s">
        <v>2698</v>
      </c>
      <c r="F50" s="22" t="s">
        <v>2544</v>
      </c>
      <c r="G50" s="22" t="s">
        <v>2533</v>
      </c>
      <c r="H50" s="23" t="s">
        <v>63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2545</v>
      </c>
    </row>
    <row r="51" ht="24" customHeight="1" spans="1:17" x14ac:dyDescent="0.25">
      <c r="A51" s="21" t="s">
        <v>2699</v>
      </c>
      <c r="B51" s="22" t="s">
        <v>30</v>
      </c>
      <c r="C51" s="22" t="s">
        <v>2681</v>
      </c>
      <c r="D51" s="22" t="s">
        <v>2700</v>
      </c>
      <c r="E51" s="22" t="s">
        <v>2701</v>
      </c>
      <c r="F51" s="22" t="s">
        <v>2549</v>
      </c>
      <c r="G51" s="22" t="s">
        <v>2533</v>
      </c>
      <c r="H51" s="23" t="s">
        <v>63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2550</v>
      </c>
    </row>
    <row r="52" ht="24" customHeight="1" spans="1:17" x14ac:dyDescent="0.25">
      <c r="A52" s="21" t="s">
        <v>2702</v>
      </c>
      <c r="B52" s="22" t="s">
        <v>30</v>
      </c>
      <c r="C52" s="22" t="s">
        <v>2681</v>
      </c>
      <c r="D52" s="22" t="s">
        <v>2703</v>
      </c>
      <c r="E52" s="22" t="s">
        <v>2704</v>
      </c>
      <c r="F52" s="22" t="s">
        <v>2554</v>
      </c>
      <c r="G52" s="22" t="s">
        <v>2555</v>
      </c>
      <c r="H52" s="26" t="s">
        <v>73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2556</v>
      </c>
    </row>
    <row r="53" ht="24" customHeight="1" spans="1:17" x14ac:dyDescent="0.25">
      <c r="A53" s="21" t="s">
        <v>2705</v>
      </c>
      <c r="B53" s="22" t="s">
        <v>30</v>
      </c>
      <c r="C53" s="22" t="s">
        <v>2681</v>
      </c>
      <c r="D53" s="22" t="s">
        <v>2706</v>
      </c>
      <c r="E53" s="22" t="s">
        <v>2707</v>
      </c>
      <c r="F53" s="22" t="s">
        <v>2560</v>
      </c>
      <c r="G53" s="22" t="s">
        <v>2533</v>
      </c>
      <c r="H53" s="23" t="s">
        <v>63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2561</v>
      </c>
    </row>
    <row r="54" ht="24" customHeight="1" spans="1:17" x14ac:dyDescent="0.25">
      <c r="A54" s="21" t="s">
        <v>2708</v>
      </c>
      <c r="B54" s="22" t="s">
        <v>30</v>
      </c>
      <c r="C54" s="22" t="s">
        <v>2681</v>
      </c>
      <c r="D54" s="22" t="s">
        <v>2709</v>
      </c>
      <c r="E54" s="22" t="s">
        <v>2710</v>
      </c>
      <c r="F54" s="22" t="s">
        <v>2565</v>
      </c>
      <c r="G54" s="22" t="s">
        <v>85</v>
      </c>
      <c r="H54" s="9" t="s">
        <v>101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2566</v>
      </c>
    </row>
    <row r="55" ht="24" customHeight="1" spans="1:17" x14ac:dyDescent="0.25">
      <c r="A55" s="21" t="s">
        <v>2711</v>
      </c>
      <c r="B55" s="22" t="s">
        <v>30</v>
      </c>
      <c r="C55" s="22" t="s">
        <v>2681</v>
      </c>
      <c r="D55" s="22" t="s">
        <v>2712</v>
      </c>
      <c r="E55" s="22" t="s">
        <v>2713</v>
      </c>
      <c r="F55" s="22" t="s">
        <v>2570</v>
      </c>
      <c r="G55" s="22" t="s">
        <v>2533</v>
      </c>
      <c r="H55" s="23" t="s">
        <v>63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2571</v>
      </c>
    </row>
    <row r="56" ht="24" customHeight="1" spans="1:17" x14ac:dyDescent="0.25">
      <c r="A56" s="21" t="s">
        <v>2714</v>
      </c>
      <c r="B56" s="22" t="s">
        <v>30</v>
      </c>
      <c r="C56" s="22" t="s">
        <v>2681</v>
      </c>
      <c r="D56" s="22" t="s">
        <v>2715</v>
      </c>
      <c r="E56" s="22" t="s">
        <v>2716</v>
      </c>
      <c r="F56" s="22" t="s">
        <v>2575</v>
      </c>
      <c r="G56" s="22" t="s">
        <v>2576</v>
      </c>
      <c r="H56" s="23" t="s">
        <v>63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2577</v>
      </c>
    </row>
    <row r="57" ht="24" customHeight="1" spans="1:17" x14ac:dyDescent="0.25">
      <c r="A57" s="21" t="s">
        <v>2717</v>
      </c>
      <c r="B57" s="22" t="s">
        <v>30</v>
      </c>
      <c r="C57" s="22" t="s">
        <v>2681</v>
      </c>
      <c r="D57" s="22" t="s">
        <v>2718</v>
      </c>
      <c r="E57" s="22" t="s">
        <v>2719</v>
      </c>
      <c r="F57" s="22" t="s">
        <v>2581</v>
      </c>
      <c r="G57" s="22" t="s">
        <v>2516</v>
      </c>
      <c r="H57" s="23" t="s">
        <v>63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2582</v>
      </c>
    </row>
    <row r="58" ht="24" customHeight="1" spans="1:17" x14ac:dyDescent="0.25">
      <c r="A58" s="21" t="s">
        <v>2720</v>
      </c>
      <c r="B58" s="22" t="s">
        <v>30</v>
      </c>
      <c r="C58" s="22" t="s">
        <v>2681</v>
      </c>
      <c r="D58" s="22" t="s">
        <v>2721</v>
      </c>
      <c r="E58" s="22" t="s">
        <v>2722</v>
      </c>
      <c r="F58" s="22" t="s">
        <v>2586</v>
      </c>
      <c r="G58" s="22" t="s">
        <v>165</v>
      </c>
      <c r="H58" s="23" t="s">
        <v>63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2587</v>
      </c>
    </row>
    <row r="59" ht="24" customHeight="1" spans="1:17" x14ac:dyDescent="0.25">
      <c r="A59" s="21" t="s">
        <v>2723</v>
      </c>
      <c r="B59" s="22" t="s">
        <v>30</v>
      </c>
      <c r="C59" s="22" t="s">
        <v>2681</v>
      </c>
      <c r="D59" s="22" t="s">
        <v>2724</v>
      </c>
      <c r="E59" s="22" t="s">
        <v>2725</v>
      </c>
      <c r="F59" s="22" t="s">
        <v>2591</v>
      </c>
      <c r="G59" s="22" t="s">
        <v>2539</v>
      </c>
      <c r="H59" s="23" t="s">
        <v>63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2592</v>
      </c>
    </row>
    <row r="60" ht="24" customHeight="1" spans="1:17" x14ac:dyDescent="0.25">
      <c r="A60" s="21" t="s">
        <v>2726</v>
      </c>
      <c r="B60" s="22" t="s">
        <v>30</v>
      </c>
      <c r="C60" s="22" t="s">
        <v>2681</v>
      </c>
      <c r="D60" s="22" t="s">
        <v>2727</v>
      </c>
      <c r="E60" s="22" t="s">
        <v>2728</v>
      </c>
      <c r="F60" s="22" t="s">
        <v>2596</v>
      </c>
      <c r="G60" s="22" t="s">
        <v>2597</v>
      </c>
      <c r="H60" s="23" t="s">
        <v>63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2598</v>
      </c>
    </row>
    <row r="61" ht="24" customHeight="1" spans="1:17" x14ac:dyDescent="0.25">
      <c r="A61" s="21" t="s">
        <v>2729</v>
      </c>
      <c r="B61" s="22" t="s">
        <v>30</v>
      </c>
      <c r="C61" s="22" t="s">
        <v>2681</v>
      </c>
      <c r="D61" s="22" t="s">
        <v>2730</v>
      </c>
      <c r="E61" s="22" t="s">
        <v>2731</v>
      </c>
      <c r="F61" s="22" t="s">
        <v>2602</v>
      </c>
      <c r="G61" s="22" t="s">
        <v>2533</v>
      </c>
      <c r="H61" s="9" t="s">
        <v>101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2603</v>
      </c>
    </row>
    <row r="62" ht="24" customHeight="1" spans="1:17" x14ac:dyDescent="0.25">
      <c r="A62" s="21" t="s">
        <v>2732</v>
      </c>
      <c r="B62" s="22" t="s">
        <v>30</v>
      </c>
      <c r="C62" s="22" t="s">
        <v>2681</v>
      </c>
      <c r="D62" s="22" t="s">
        <v>2733</v>
      </c>
      <c r="E62" s="22" t="s">
        <v>2734</v>
      </c>
      <c r="F62" s="22" t="s">
        <v>2607</v>
      </c>
      <c r="G62" s="22" t="s">
        <v>2516</v>
      </c>
      <c r="H62" s="23" t="s">
        <v>63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2608</v>
      </c>
    </row>
    <row r="63" ht="24" customHeight="1" spans="1:17" x14ac:dyDescent="0.25">
      <c r="A63" s="21" t="s">
        <v>2735</v>
      </c>
      <c r="B63" s="22" t="s">
        <v>30</v>
      </c>
      <c r="C63" s="22" t="s">
        <v>2681</v>
      </c>
      <c r="D63" s="22" t="s">
        <v>2736</v>
      </c>
      <c r="E63" s="22" t="s">
        <v>2737</v>
      </c>
      <c r="F63" s="22" t="s">
        <v>2612</v>
      </c>
      <c r="G63" s="22" t="s">
        <v>154</v>
      </c>
      <c r="H63" s="23" t="s">
        <v>63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2613</v>
      </c>
    </row>
    <row r="64" ht="24" customHeight="1" spans="1:17" x14ac:dyDescent="0.25">
      <c r="A64" s="21" t="s">
        <v>2738</v>
      </c>
      <c r="B64" s="22" t="s">
        <v>30</v>
      </c>
      <c r="C64" s="22" t="s">
        <v>2681</v>
      </c>
      <c r="D64" s="22" t="s">
        <v>2739</v>
      </c>
      <c r="E64" s="22" t="s">
        <v>2740</v>
      </c>
      <c r="F64" s="22" t="s">
        <v>2617</v>
      </c>
      <c r="G64" s="22" t="s">
        <v>85</v>
      </c>
      <c r="H64" s="23" t="s">
        <v>63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2618</v>
      </c>
    </row>
    <row r="65" ht="24" customHeight="1" spans="1:17" x14ac:dyDescent="0.25">
      <c r="A65" s="21" t="s">
        <v>2741</v>
      </c>
      <c r="B65" s="22" t="s">
        <v>30</v>
      </c>
      <c r="C65" s="22" t="s">
        <v>2742</v>
      </c>
      <c r="D65" s="22" t="s">
        <v>2743</v>
      </c>
      <c r="E65" s="22" t="s">
        <v>2744</v>
      </c>
      <c r="F65" s="22" t="s">
        <v>2515</v>
      </c>
      <c r="G65" s="22" t="s">
        <v>2516</v>
      </c>
      <c r="H65" s="26" t="s">
        <v>73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2517</v>
      </c>
    </row>
    <row r="66" ht="24" customHeight="1" spans="1:17" x14ac:dyDescent="0.25">
      <c r="A66" s="21" t="s">
        <v>2745</v>
      </c>
      <c r="B66" s="22" t="s">
        <v>30</v>
      </c>
      <c r="C66" s="22" t="s">
        <v>2742</v>
      </c>
      <c r="D66" s="22" t="s">
        <v>2746</v>
      </c>
      <c r="E66" s="22" t="s">
        <v>2747</v>
      </c>
      <c r="F66" s="22" t="s">
        <v>2521</v>
      </c>
      <c r="G66" s="22" t="s">
        <v>2522</v>
      </c>
      <c r="H66" s="26" t="s">
        <v>73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2523</v>
      </c>
    </row>
    <row r="67" ht="24" customHeight="1" spans="1:17" x14ac:dyDescent="0.25">
      <c r="A67" s="21" t="s">
        <v>2748</v>
      </c>
      <c r="B67" s="22" t="s">
        <v>30</v>
      </c>
      <c r="C67" s="22" t="s">
        <v>2742</v>
      </c>
      <c r="D67" s="22" t="s">
        <v>2749</v>
      </c>
      <c r="E67" s="22" t="s">
        <v>2750</v>
      </c>
      <c r="F67" s="22" t="s">
        <v>2527</v>
      </c>
      <c r="G67" s="22" t="s">
        <v>127</v>
      </c>
      <c r="H67" s="23" t="s">
        <v>63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2528</v>
      </c>
    </row>
    <row r="68" ht="24" customHeight="1" spans="1:17" x14ac:dyDescent="0.25">
      <c r="A68" s="21" t="s">
        <v>2751</v>
      </c>
      <c r="B68" s="22" t="s">
        <v>30</v>
      </c>
      <c r="C68" s="22" t="s">
        <v>2742</v>
      </c>
      <c r="D68" s="22" t="s">
        <v>2752</v>
      </c>
      <c r="E68" s="22" t="s">
        <v>2753</v>
      </c>
      <c r="F68" s="22" t="s">
        <v>2532</v>
      </c>
      <c r="G68" s="22" t="s">
        <v>2533</v>
      </c>
      <c r="H68" s="26" t="s">
        <v>73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2534</v>
      </c>
    </row>
    <row r="69" ht="24" customHeight="1" spans="1:17" x14ac:dyDescent="0.25">
      <c r="A69" s="21" t="s">
        <v>2754</v>
      </c>
      <c r="B69" s="22" t="s">
        <v>30</v>
      </c>
      <c r="C69" s="22" t="s">
        <v>2742</v>
      </c>
      <c r="D69" s="22" t="s">
        <v>2755</v>
      </c>
      <c r="E69" s="22" t="s">
        <v>2756</v>
      </c>
      <c r="F69" s="22" t="s">
        <v>2538</v>
      </c>
      <c r="G69" s="22" t="s">
        <v>2539</v>
      </c>
      <c r="H69" s="26" t="s">
        <v>73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2540</v>
      </c>
    </row>
    <row r="70" ht="24" customHeight="1" spans="1:17" x14ac:dyDescent="0.25">
      <c r="A70" s="21" t="s">
        <v>2757</v>
      </c>
      <c r="B70" s="22" t="s">
        <v>30</v>
      </c>
      <c r="C70" s="22" t="s">
        <v>2742</v>
      </c>
      <c r="D70" s="22" t="s">
        <v>2758</v>
      </c>
      <c r="E70" s="22" t="s">
        <v>2759</v>
      </c>
      <c r="F70" s="22" t="s">
        <v>2544</v>
      </c>
      <c r="G70" s="22" t="s">
        <v>2533</v>
      </c>
      <c r="H70" s="23" t="s">
        <v>63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2545</v>
      </c>
    </row>
    <row r="71" ht="24" customHeight="1" spans="1:17" x14ac:dyDescent="0.25">
      <c r="A71" s="21" t="s">
        <v>2760</v>
      </c>
      <c r="B71" s="22" t="s">
        <v>30</v>
      </c>
      <c r="C71" s="22" t="s">
        <v>2742</v>
      </c>
      <c r="D71" s="22" t="s">
        <v>2761</v>
      </c>
      <c r="E71" s="22" t="s">
        <v>2762</v>
      </c>
      <c r="F71" s="22" t="s">
        <v>2549</v>
      </c>
      <c r="G71" s="22" t="s">
        <v>2533</v>
      </c>
      <c r="H71" s="23" t="s">
        <v>63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2550</v>
      </c>
    </row>
    <row r="72" ht="24" customHeight="1" spans="1:17" x14ac:dyDescent="0.25">
      <c r="A72" s="21" t="s">
        <v>2763</v>
      </c>
      <c r="B72" s="22" t="s">
        <v>30</v>
      </c>
      <c r="C72" s="22" t="s">
        <v>2742</v>
      </c>
      <c r="D72" s="22" t="s">
        <v>2764</v>
      </c>
      <c r="E72" s="22" t="s">
        <v>2765</v>
      </c>
      <c r="F72" s="22" t="s">
        <v>2554</v>
      </c>
      <c r="G72" s="22" t="s">
        <v>2555</v>
      </c>
      <c r="H72" s="26" t="s">
        <v>73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2556</v>
      </c>
    </row>
    <row r="73" ht="24" customHeight="1" spans="1:17" x14ac:dyDescent="0.25">
      <c r="A73" s="21" t="s">
        <v>2766</v>
      </c>
      <c r="B73" s="22" t="s">
        <v>30</v>
      </c>
      <c r="C73" s="22" t="s">
        <v>2742</v>
      </c>
      <c r="D73" s="22" t="s">
        <v>2767</v>
      </c>
      <c r="E73" s="22" t="s">
        <v>2768</v>
      </c>
      <c r="F73" s="22" t="s">
        <v>2560</v>
      </c>
      <c r="G73" s="22" t="s">
        <v>2533</v>
      </c>
      <c r="H73" s="23" t="s">
        <v>63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2561</v>
      </c>
    </row>
    <row r="74" ht="24" customHeight="1" spans="1:17" x14ac:dyDescent="0.25">
      <c r="A74" s="21" t="s">
        <v>2769</v>
      </c>
      <c r="B74" s="22" t="s">
        <v>30</v>
      </c>
      <c r="C74" s="22" t="s">
        <v>2742</v>
      </c>
      <c r="D74" s="22" t="s">
        <v>2770</v>
      </c>
      <c r="E74" s="22" t="s">
        <v>2771</v>
      </c>
      <c r="F74" s="22" t="s">
        <v>2565</v>
      </c>
      <c r="G74" s="22" t="s">
        <v>85</v>
      </c>
      <c r="H74" s="9" t="s">
        <v>101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2566</v>
      </c>
    </row>
    <row r="75" ht="24" customHeight="1" spans="1:17" x14ac:dyDescent="0.25">
      <c r="A75" s="21" t="s">
        <v>2772</v>
      </c>
      <c r="B75" s="22" t="s">
        <v>30</v>
      </c>
      <c r="C75" s="22" t="s">
        <v>2742</v>
      </c>
      <c r="D75" s="22" t="s">
        <v>2773</v>
      </c>
      <c r="E75" s="22" t="s">
        <v>2774</v>
      </c>
      <c r="F75" s="22" t="s">
        <v>2570</v>
      </c>
      <c r="G75" s="22" t="s">
        <v>2533</v>
      </c>
      <c r="H75" s="23" t="s">
        <v>63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2571</v>
      </c>
    </row>
    <row r="76" ht="24" customHeight="1" spans="1:17" x14ac:dyDescent="0.25">
      <c r="A76" s="21" t="s">
        <v>2775</v>
      </c>
      <c r="B76" s="22" t="s">
        <v>30</v>
      </c>
      <c r="C76" s="22" t="s">
        <v>2742</v>
      </c>
      <c r="D76" s="22" t="s">
        <v>2776</v>
      </c>
      <c r="E76" s="22" t="s">
        <v>2777</v>
      </c>
      <c r="F76" s="22" t="s">
        <v>2575</v>
      </c>
      <c r="G76" s="22" t="s">
        <v>2576</v>
      </c>
      <c r="H76" s="23" t="s">
        <v>63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2577</v>
      </c>
    </row>
    <row r="77" ht="24" customHeight="1" spans="1:17" x14ac:dyDescent="0.25">
      <c r="A77" s="21" t="s">
        <v>2778</v>
      </c>
      <c r="B77" s="22" t="s">
        <v>30</v>
      </c>
      <c r="C77" s="22" t="s">
        <v>2742</v>
      </c>
      <c r="D77" s="22" t="s">
        <v>2779</v>
      </c>
      <c r="E77" s="22" t="s">
        <v>2780</v>
      </c>
      <c r="F77" s="22" t="s">
        <v>2581</v>
      </c>
      <c r="G77" s="22" t="s">
        <v>2516</v>
      </c>
      <c r="H77" s="23" t="s">
        <v>63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2582</v>
      </c>
    </row>
    <row r="78" ht="24" customHeight="1" spans="1:17" x14ac:dyDescent="0.25">
      <c r="A78" s="21" t="s">
        <v>2781</v>
      </c>
      <c r="B78" s="22" t="s">
        <v>30</v>
      </c>
      <c r="C78" s="22" t="s">
        <v>2742</v>
      </c>
      <c r="D78" s="22" t="s">
        <v>2782</v>
      </c>
      <c r="E78" s="22" t="s">
        <v>2783</v>
      </c>
      <c r="F78" s="22" t="s">
        <v>2586</v>
      </c>
      <c r="G78" s="22" t="s">
        <v>165</v>
      </c>
      <c r="H78" s="23" t="s">
        <v>63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2587</v>
      </c>
    </row>
    <row r="79" ht="24" customHeight="1" spans="1:17" x14ac:dyDescent="0.25">
      <c r="A79" s="21" t="s">
        <v>2784</v>
      </c>
      <c r="B79" s="22" t="s">
        <v>30</v>
      </c>
      <c r="C79" s="22" t="s">
        <v>2742</v>
      </c>
      <c r="D79" s="22" t="s">
        <v>2785</v>
      </c>
      <c r="E79" s="22" t="s">
        <v>2786</v>
      </c>
      <c r="F79" s="22" t="s">
        <v>2591</v>
      </c>
      <c r="G79" s="22" t="s">
        <v>2539</v>
      </c>
      <c r="H79" s="23" t="s">
        <v>63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2592</v>
      </c>
    </row>
    <row r="80" ht="24" customHeight="1" spans="1:17" x14ac:dyDescent="0.25">
      <c r="A80" s="21" t="s">
        <v>2787</v>
      </c>
      <c r="B80" s="22" t="s">
        <v>30</v>
      </c>
      <c r="C80" s="22" t="s">
        <v>2742</v>
      </c>
      <c r="D80" s="22" t="s">
        <v>2788</v>
      </c>
      <c r="E80" s="22" t="s">
        <v>2789</v>
      </c>
      <c r="F80" s="22" t="s">
        <v>2596</v>
      </c>
      <c r="G80" s="22" t="s">
        <v>2597</v>
      </c>
      <c r="H80" s="23" t="s">
        <v>63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2598</v>
      </c>
    </row>
    <row r="81" ht="24" customHeight="1" spans="1:17" x14ac:dyDescent="0.25">
      <c r="A81" s="21" t="s">
        <v>2790</v>
      </c>
      <c r="B81" s="22" t="s">
        <v>30</v>
      </c>
      <c r="C81" s="22" t="s">
        <v>2742</v>
      </c>
      <c r="D81" s="22" t="s">
        <v>2791</v>
      </c>
      <c r="E81" s="22" t="s">
        <v>2792</v>
      </c>
      <c r="F81" s="22" t="s">
        <v>2602</v>
      </c>
      <c r="G81" s="22" t="s">
        <v>2533</v>
      </c>
      <c r="H81" s="9" t="s">
        <v>101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2603</v>
      </c>
    </row>
    <row r="82" ht="24" customHeight="1" spans="1:17" x14ac:dyDescent="0.25">
      <c r="A82" s="21" t="s">
        <v>2793</v>
      </c>
      <c r="B82" s="22" t="s">
        <v>30</v>
      </c>
      <c r="C82" s="22" t="s">
        <v>2742</v>
      </c>
      <c r="D82" s="22" t="s">
        <v>2794</v>
      </c>
      <c r="E82" s="22" t="s">
        <v>2795</v>
      </c>
      <c r="F82" s="22" t="s">
        <v>2607</v>
      </c>
      <c r="G82" s="22" t="s">
        <v>2516</v>
      </c>
      <c r="H82" s="23" t="s">
        <v>63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2608</v>
      </c>
    </row>
    <row r="83" ht="24" customHeight="1" spans="1:17" x14ac:dyDescent="0.25">
      <c r="A83" s="21" t="s">
        <v>2796</v>
      </c>
      <c r="B83" s="22" t="s">
        <v>30</v>
      </c>
      <c r="C83" s="22" t="s">
        <v>2742</v>
      </c>
      <c r="D83" s="22" t="s">
        <v>2797</v>
      </c>
      <c r="E83" s="22" t="s">
        <v>2798</v>
      </c>
      <c r="F83" s="22" t="s">
        <v>2612</v>
      </c>
      <c r="G83" s="22" t="s">
        <v>154</v>
      </c>
      <c r="H83" s="23" t="s">
        <v>63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2613</v>
      </c>
    </row>
    <row r="84" ht="24" customHeight="1" spans="1:17" x14ac:dyDescent="0.25">
      <c r="A84" s="21" t="s">
        <v>2799</v>
      </c>
      <c r="B84" s="22" t="s">
        <v>30</v>
      </c>
      <c r="C84" s="22" t="s">
        <v>2742</v>
      </c>
      <c r="D84" s="22" t="s">
        <v>2800</v>
      </c>
      <c r="E84" s="22" t="s">
        <v>2801</v>
      </c>
      <c r="F84" s="22" t="s">
        <v>2617</v>
      </c>
      <c r="G84" s="22" t="s">
        <v>85</v>
      </c>
      <c r="H84" s="23" t="s">
        <v>63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2618</v>
      </c>
    </row>
    <row r="85" ht="24" customHeight="1" spans="1:17" x14ac:dyDescent="0.25">
      <c r="A85" s="21" t="s">
        <v>2802</v>
      </c>
      <c r="B85" s="22" t="s">
        <v>30</v>
      </c>
      <c r="C85" s="22" t="s">
        <v>2803</v>
      </c>
      <c r="D85" s="22" t="s">
        <v>2804</v>
      </c>
      <c r="E85" s="22" t="s">
        <v>2805</v>
      </c>
      <c r="F85" s="22" t="s">
        <v>2515</v>
      </c>
      <c r="G85" s="22" t="s">
        <v>2516</v>
      </c>
      <c r="H85" s="26" t="s">
        <v>73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2517</v>
      </c>
    </row>
    <row r="86" ht="24" customHeight="1" spans="1:17" x14ac:dyDescent="0.25">
      <c r="A86" s="21" t="s">
        <v>2806</v>
      </c>
      <c r="B86" s="22" t="s">
        <v>30</v>
      </c>
      <c r="C86" s="22" t="s">
        <v>2803</v>
      </c>
      <c r="D86" s="22" t="s">
        <v>2807</v>
      </c>
      <c r="E86" s="22" t="s">
        <v>2808</v>
      </c>
      <c r="F86" s="22" t="s">
        <v>2521</v>
      </c>
      <c r="G86" s="22" t="s">
        <v>2522</v>
      </c>
      <c r="H86" s="26" t="s">
        <v>73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2523</v>
      </c>
    </row>
    <row r="87" ht="24" customHeight="1" spans="1:17" x14ac:dyDescent="0.25">
      <c r="A87" s="21" t="s">
        <v>2809</v>
      </c>
      <c r="B87" s="22" t="s">
        <v>30</v>
      </c>
      <c r="C87" s="22" t="s">
        <v>2803</v>
      </c>
      <c r="D87" s="22" t="s">
        <v>2810</v>
      </c>
      <c r="E87" s="22" t="s">
        <v>2811</v>
      </c>
      <c r="F87" s="22" t="s">
        <v>2527</v>
      </c>
      <c r="G87" s="22" t="s">
        <v>127</v>
      </c>
      <c r="H87" s="23" t="s">
        <v>63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2528</v>
      </c>
    </row>
    <row r="88" ht="24" customHeight="1" spans="1:17" x14ac:dyDescent="0.25">
      <c r="A88" s="21" t="s">
        <v>2812</v>
      </c>
      <c r="B88" s="22" t="s">
        <v>30</v>
      </c>
      <c r="C88" s="22" t="s">
        <v>2803</v>
      </c>
      <c r="D88" s="22" t="s">
        <v>2813</v>
      </c>
      <c r="E88" s="22" t="s">
        <v>2814</v>
      </c>
      <c r="F88" s="22" t="s">
        <v>2532</v>
      </c>
      <c r="G88" s="22" t="s">
        <v>2533</v>
      </c>
      <c r="H88" s="26" t="s">
        <v>73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2534</v>
      </c>
    </row>
    <row r="89" ht="24" customHeight="1" spans="1:17" x14ac:dyDescent="0.25">
      <c r="A89" s="21" t="s">
        <v>2815</v>
      </c>
      <c r="B89" s="22" t="s">
        <v>30</v>
      </c>
      <c r="C89" s="22" t="s">
        <v>2803</v>
      </c>
      <c r="D89" s="22" t="s">
        <v>2816</v>
      </c>
      <c r="E89" s="22" t="s">
        <v>2817</v>
      </c>
      <c r="F89" s="22" t="s">
        <v>2538</v>
      </c>
      <c r="G89" s="22" t="s">
        <v>2539</v>
      </c>
      <c r="H89" s="26" t="s">
        <v>73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2540</v>
      </c>
    </row>
    <row r="90" ht="24" customHeight="1" spans="1:17" x14ac:dyDescent="0.25">
      <c r="A90" s="21" t="s">
        <v>2818</v>
      </c>
      <c r="B90" s="22" t="s">
        <v>30</v>
      </c>
      <c r="C90" s="22" t="s">
        <v>2803</v>
      </c>
      <c r="D90" s="22" t="s">
        <v>2819</v>
      </c>
      <c r="E90" s="22" t="s">
        <v>2820</v>
      </c>
      <c r="F90" s="22" t="s">
        <v>2544</v>
      </c>
      <c r="G90" s="22" t="s">
        <v>2533</v>
      </c>
      <c r="H90" s="23" t="s">
        <v>63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2545</v>
      </c>
    </row>
    <row r="91" ht="24" customHeight="1" spans="1:17" x14ac:dyDescent="0.25">
      <c r="A91" s="21" t="s">
        <v>2821</v>
      </c>
      <c r="B91" s="22" t="s">
        <v>30</v>
      </c>
      <c r="C91" s="22" t="s">
        <v>2803</v>
      </c>
      <c r="D91" s="22" t="s">
        <v>2822</v>
      </c>
      <c r="E91" s="22" t="s">
        <v>2823</v>
      </c>
      <c r="F91" s="22" t="s">
        <v>2549</v>
      </c>
      <c r="G91" s="22" t="s">
        <v>2533</v>
      </c>
      <c r="H91" s="23" t="s">
        <v>63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2550</v>
      </c>
    </row>
    <row r="92" ht="24" customHeight="1" spans="1:17" x14ac:dyDescent="0.25">
      <c r="A92" s="21" t="s">
        <v>2824</v>
      </c>
      <c r="B92" s="22" t="s">
        <v>30</v>
      </c>
      <c r="C92" s="22" t="s">
        <v>2803</v>
      </c>
      <c r="D92" s="22" t="s">
        <v>2825</v>
      </c>
      <c r="E92" s="22" t="s">
        <v>2826</v>
      </c>
      <c r="F92" s="22" t="s">
        <v>2554</v>
      </c>
      <c r="G92" s="22" t="s">
        <v>2555</v>
      </c>
      <c r="H92" s="26" t="s">
        <v>73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2556</v>
      </c>
    </row>
    <row r="93" ht="24" customHeight="1" spans="1:17" x14ac:dyDescent="0.25">
      <c r="A93" s="21" t="s">
        <v>2827</v>
      </c>
      <c r="B93" s="22" t="s">
        <v>30</v>
      </c>
      <c r="C93" s="22" t="s">
        <v>2803</v>
      </c>
      <c r="D93" s="22" t="s">
        <v>2828</v>
      </c>
      <c r="E93" s="22" t="s">
        <v>2829</v>
      </c>
      <c r="F93" s="22" t="s">
        <v>2560</v>
      </c>
      <c r="G93" s="22" t="s">
        <v>2533</v>
      </c>
      <c r="H93" s="23" t="s">
        <v>63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2561</v>
      </c>
    </row>
    <row r="94" ht="24" customHeight="1" spans="1:17" x14ac:dyDescent="0.25">
      <c r="A94" s="21" t="s">
        <v>2830</v>
      </c>
      <c r="B94" s="22" t="s">
        <v>30</v>
      </c>
      <c r="C94" s="22" t="s">
        <v>2803</v>
      </c>
      <c r="D94" s="22" t="s">
        <v>2831</v>
      </c>
      <c r="E94" s="22" t="s">
        <v>2832</v>
      </c>
      <c r="F94" s="22" t="s">
        <v>2565</v>
      </c>
      <c r="G94" s="22" t="s">
        <v>85</v>
      </c>
      <c r="H94" s="9" t="s">
        <v>101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2566</v>
      </c>
    </row>
    <row r="95" ht="24" customHeight="1" spans="1:17" x14ac:dyDescent="0.25">
      <c r="A95" s="21" t="s">
        <v>2833</v>
      </c>
      <c r="B95" s="22" t="s">
        <v>30</v>
      </c>
      <c r="C95" s="22" t="s">
        <v>2803</v>
      </c>
      <c r="D95" s="22" t="s">
        <v>2834</v>
      </c>
      <c r="E95" s="22" t="s">
        <v>2835</v>
      </c>
      <c r="F95" s="22" t="s">
        <v>2570</v>
      </c>
      <c r="G95" s="22" t="s">
        <v>2533</v>
      </c>
      <c r="H95" s="23" t="s">
        <v>63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2571</v>
      </c>
    </row>
    <row r="96" ht="24" customHeight="1" spans="1:17" x14ac:dyDescent="0.25">
      <c r="A96" s="21" t="s">
        <v>2836</v>
      </c>
      <c r="B96" s="22" t="s">
        <v>30</v>
      </c>
      <c r="C96" s="22" t="s">
        <v>2803</v>
      </c>
      <c r="D96" s="22" t="s">
        <v>2837</v>
      </c>
      <c r="E96" s="22" t="s">
        <v>2838</v>
      </c>
      <c r="F96" s="22" t="s">
        <v>2575</v>
      </c>
      <c r="G96" s="22" t="s">
        <v>2576</v>
      </c>
      <c r="H96" s="23" t="s">
        <v>63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2577</v>
      </c>
    </row>
    <row r="97" ht="24" customHeight="1" spans="1:17" x14ac:dyDescent="0.25">
      <c r="A97" s="21" t="s">
        <v>2839</v>
      </c>
      <c r="B97" s="22" t="s">
        <v>30</v>
      </c>
      <c r="C97" s="22" t="s">
        <v>2803</v>
      </c>
      <c r="D97" s="22" t="s">
        <v>2840</v>
      </c>
      <c r="E97" s="22" t="s">
        <v>2841</v>
      </c>
      <c r="F97" s="22" t="s">
        <v>2581</v>
      </c>
      <c r="G97" s="22" t="s">
        <v>2516</v>
      </c>
      <c r="H97" s="23" t="s">
        <v>63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2582</v>
      </c>
    </row>
    <row r="98" ht="24" customHeight="1" spans="1:17" x14ac:dyDescent="0.25">
      <c r="A98" s="21" t="s">
        <v>2842</v>
      </c>
      <c r="B98" s="22" t="s">
        <v>30</v>
      </c>
      <c r="C98" s="22" t="s">
        <v>2803</v>
      </c>
      <c r="D98" s="22" t="s">
        <v>2843</v>
      </c>
      <c r="E98" s="22" t="s">
        <v>2844</v>
      </c>
      <c r="F98" s="22" t="s">
        <v>2586</v>
      </c>
      <c r="G98" s="22" t="s">
        <v>165</v>
      </c>
      <c r="H98" s="23" t="s">
        <v>63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2587</v>
      </c>
    </row>
    <row r="99" ht="24" customHeight="1" spans="1:17" x14ac:dyDescent="0.25">
      <c r="A99" s="21" t="s">
        <v>2845</v>
      </c>
      <c r="B99" s="22" t="s">
        <v>30</v>
      </c>
      <c r="C99" s="22" t="s">
        <v>2803</v>
      </c>
      <c r="D99" s="22" t="s">
        <v>2846</v>
      </c>
      <c r="E99" s="22" t="s">
        <v>2847</v>
      </c>
      <c r="F99" s="22" t="s">
        <v>2591</v>
      </c>
      <c r="G99" s="22" t="s">
        <v>2539</v>
      </c>
      <c r="H99" s="23" t="s">
        <v>63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2592</v>
      </c>
    </row>
    <row r="100" ht="24" customHeight="1" spans="1:17" x14ac:dyDescent="0.25">
      <c r="A100" s="21" t="s">
        <v>2848</v>
      </c>
      <c r="B100" s="22" t="s">
        <v>30</v>
      </c>
      <c r="C100" s="22" t="s">
        <v>2803</v>
      </c>
      <c r="D100" s="22" t="s">
        <v>2849</v>
      </c>
      <c r="E100" s="22" t="s">
        <v>2850</v>
      </c>
      <c r="F100" s="22" t="s">
        <v>2596</v>
      </c>
      <c r="G100" s="22" t="s">
        <v>2597</v>
      </c>
      <c r="H100" s="23" t="s">
        <v>63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2598</v>
      </c>
    </row>
    <row r="101" ht="24" customHeight="1" spans="1:17" x14ac:dyDescent="0.25">
      <c r="A101" s="21" t="s">
        <v>2851</v>
      </c>
      <c r="B101" s="22" t="s">
        <v>30</v>
      </c>
      <c r="C101" s="22" t="s">
        <v>2803</v>
      </c>
      <c r="D101" s="22" t="s">
        <v>2852</v>
      </c>
      <c r="E101" s="22" t="s">
        <v>2853</v>
      </c>
      <c r="F101" s="22" t="s">
        <v>2602</v>
      </c>
      <c r="G101" s="22" t="s">
        <v>2533</v>
      </c>
      <c r="H101" s="9" t="s">
        <v>101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2603</v>
      </c>
    </row>
    <row r="102" ht="24" customHeight="1" spans="1:17" x14ac:dyDescent="0.25">
      <c r="A102" s="21" t="s">
        <v>2854</v>
      </c>
      <c r="B102" s="22" t="s">
        <v>30</v>
      </c>
      <c r="C102" s="22" t="s">
        <v>2803</v>
      </c>
      <c r="D102" s="22" t="s">
        <v>2855</v>
      </c>
      <c r="E102" s="22" t="s">
        <v>2856</v>
      </c>
      <c r="F102" s="22" t="s">
        <v>2607</v>
      </c>
      <c r="G102" s="22" t="s">
        <v>2516</v>
      </c>
      <c r="H102" s="23" t="s">
        <v>63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2608</v>
      </c>
    </row>
    <row r="103" ht="24" customHeight="1" spans="1:17" x14ac:dyDescent="0.25">
      <c r="A103" s="21" t="s">
        <v>2857</v>
      </c>
      <c r="B103" s="22" t="s">
        <v>30</v>
      </c>
      <c r="C103" s="22" t="s">
        <v>2803</v>
      </c>
      <c r="D103" s="22" t="s">
        <v>2858</v>
      </c>
      <c r="E103" s="22" t="s">
        <v>2859</v>
      </c>
      <c r="F103" s="22" t="s">
        <v>2612</v>
      </c>
      <c r="G103" s="22" t="s">
        <v>154</v>
      </c>
      <c r="H103" s="23" t="s">
        <v>63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2613</v>
      </c>
    </row>
    <row r="104" ht="24" customHeight="1" spans="1:17" x14ac:dyDescent="0.25">
      <c r="A104" s="21" t="s">
        <v>2860</v>
      </c>
      <c r="B104" s="22" t="s">
        <v>30</v>
      </c>
      <c r="C104" s="22" t="s">
        <v>2803</v>
      </c>
      <c r="D104" s="22" t="s">
        <v>2861</v>
      </c>
      <c r="E104" s="22" t="s">
        <v>2862</v>
      </c>
      <c r="F104" s="22" t="s">
        <v>2617</v>
      </c>
      <c r="G104" s="22" t="s">
        <v>85</v>
      </c>
      <c r="H104" s="23" t="s">
        <v>63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2618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35" t="s">
        <v>2863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ht="24" customHeight="1" spans="1:17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2864</v>
      </c>
      <c r="B5" s="22" t="s">
        <v>32</v>
      </c>
      <c r="C5" s="22" t="s">
        <v>2865</v>
      </c>
      <c r="D5" s="22" t="s">
        <v>2866</v>
      </c>
      <c r="E5" s="22" t="s">
        <v>2867</v>
      </c>
      <c r="F5" s="22" t="s">
        <v>2868</v>
      </c>
      <c r="G5" s="22" t="s">
        <v>2869</v>
      </c>
      <c r="H5" s="26" t="s">
        <v>73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2870</v>
      </c>
    </row>
    <row r="6" ht="24" customHeight="1" spans="1:17" x14ac:dyDescent="0.25">
      <c r="A6" s="21" t="s">
        <v>2871</v>
      </c>
      <c r="B6" s="22" t="s">
        <v>32</v>
      </c>
      <c r="C6" s="22" t="s">
        <v>2865</v>
      </c>
      <c r="D6" s="22" t="s">
        <v>2872</v>
      </c>
      <c r="E6" s="22" t="s">
        <v>2873</v>
      </c>
      <c r="F6" s="22" t="s">
        <v>2874</v>
      </c>
      <c r="G6" s="22" t="s">
        <v>2875</v>
      </c>
      <c r="H6" s="26" t="s">
        <v>73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2876</v>
      </c>
    </row>
    <row r="7" ht="24" customHeight="1" spans="1:17" x14ac:dyDescent="0.25">
      <c r="A7" s="21" t="s">
        <v>2877</v>
      </c>
      <c r="B7" s="22" t="s">
        <v>32</v>
      </c>
      <c r="C7" s="22" t="s">
        <v>2865</v>
      </c>
      <c r="D7" s="22" t="s">
        <v>2878</v>
      </c>
      <c r="E7" s="22" t="s">
        <v>2879</v>
      </c>
      <c r="F7" s="22" t="s">
        <v>2880</v>
      </c>
      <c r="G7" s="22" t="s">
        <v>165</v>
      </c>
      <c r="H7" s="26" t="s">
        <v>73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2881</v>
      </c>
    </row>
    <row r="8" ht="24" customHeight="1" spans="1:17" x14ac:dyDescent="0.25">
      <c r="A8" s="21" t="s">
        <v>2882</v>
      </c>
      <c r="B8" s="22" t="s">
        <v>32</v>
      </c>
      <c r="C8" s="22" t="s">
        <v>2865</v>
      </c>
      <c r="D8" s="22" t="s">
        <v>2883</v>
      </c>
      <c r="E8" s="22" t="s">
        <v>2884</v>
      </c>
      <c r="F8" s="22" t="s">
        <v>2885</v>
      </c>
      <c r="G8" s="22" t="s">
        <v>165</v>
      </c>
      <c r="H8" s="23" t="s">
        <v>63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2886</v>
      </c>
    </row>
    <row r="9" ht="24" customHeight="1" spans="1:17" x14ac:dyDescent="0.25">
      <c r="A9" s="21" t="s">
        <v>2887</v>
      </c>
      <c r="B9" s="22" t="s">
        <v>32</v>
      </c>
      <c r="C9" s="22" t="s">
        <v>2865</v>
      </c>
      <c r="D9" s="22" t="s">
        <v>2888</v>
      </c>
      <c r="E9" s="22" t="s">
        <v>2889</v>
      </c>
      <c r="F9" s="22" t="s">
        <v>2890</v>
      </c>
      <c r="G9" s="22" t="s">
        <v>2875</v>
      </c>
      <c r="H9" s="9" t="s">
        <v>101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2891</v>
      </c>
    </row>
    <row r="10" ht="24" customHeight="1" spans="1:17" x14ac:dyDescent="0.25">
      <c r="A10" s="21" t="s">
        <v>2892</v>
      </c>
      <c r="B10" s="22" t="s">
        <v>32</v>
      </c>
      <c r="C10" s="22" t="s">
        <v>2865</v>
      </c>
      <c r="D10" s="22" t="s">
        <v>2893</v>
      </c>
      <c r="E10" s="22" t="s">
        <v>2894</v>
      </c>
      <c r="F10" s="22" t="s">
        <v>2895</v>
      </c>
      <c r="G10" s="22" t="s">
        <v>2896</v>
      </c>
      <c r="H10" s="23" t="s">
        <v>63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2897</v>
      </c>
    </row>
    <row r="11" ht="24" customHeight="1" spans="1:17" x14ac:dyDescent="0.25">
      <c r="A11" s="21" t="s">
        <v>2898</v>
      </c>
      <c r="B11" s="22" t="s">
        <v>32</v>
      </c>
      <c r="C11" s="22" t="s">
        <v>2865</v>
      </c>
      <c r="D11" s="22" t="s">
        <v>2899</v>
      </c>
      <c r="E11" s="22" t="s">
        <v>2900</v>
      </c>
      <c r="F11" s="22" t="s">
        <v>2901</v>
      </c>
      <c r="G11" s="22" t="s">
        <v>2896</v>
      </c>
      <c r="H11" s="26" t="s">
        <v>73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2902</v>
      </c>
    </row>
    <row r="12" ht="24" customHeight="1" spans="1:17" x14ac:dyDescent="0.25">
      <c r="A12" s="21" t="s">
        <v>2903</v>
      </c>
      <c r="B12" s="22" t="s">
        <v>32</v>
      </c>
      <c r="C12" s="22" t="s">
        <v>2865</v>
      </c>
      <c r="D12" s="22" t="s">
        <v>2904</v>
      </c>
      <c r="E12" s="22" t="s">
        <v>2905</v>
      </c>
      <c r="F12" s="22" t="s">
        <v>2906</v>
      </c>
      <c r="G12" s="22" t="s">
        <v>2875</v>
      </c>
      <c r="H12" s="23" t="s">
        <v>63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2907</v>
      </c>
    </row>
    <row r="13" ht="24" customHeight="1" spans="1:17" x14ac:dyDescent="0.25">
      <c r="A13" s="21" t="s">
        <v>2908</v>
      </c>
      <c r="B13" s="22" t="s">
        <v>32</v>
      </c>
      <c r="C13" s="22" t="s">
        <v>2865</v>
      </c>
      <c r="D13" s="22" t="s">
        <v>2909</v>
      </c>
      <c r="E13" s="22" t="s">
        <v>2910</v>
      </c>
      <c r="F13" s="22" t="s">
        <v>2911</v>
      </c>
      <c r="G13" s="22" t="s">
        <v>2912</v>
      </c>
      <c r="H13" s="26" t="s">
        <v>73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2913</v>
      </c>
    </row>
    <row r="14" ht="24" customHeight="1" spans="1:17" x14ac:dyDescent="0.25">
      <c r="A14" s="21" t="s">
        <v>2914</v>
      </c>
      <c r="B14" s="22" t="s">
        <v>32</v>
      </c>
      <c r="C14" s="22" t="s">
        <v>2865</v>
      </c>
      <c r="D14" s="22" t="s">
        <v>2915</v>
      </c>
      <c r="E14" s="22" t="s">
        <v>2916</v>
      </c>
      <c r="F14" s="22" t="s">
        <v>2917</v>
      </c>
      <c r="G14" s="22" t="s">
        <v>448</v>
      </c>
      <c r="H14" s="23" t="s">
        <v>63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2918</v>
      </c>
    </row>
    <row r="15" ht="24" customHeight="1" spans="1:17" x14ac:dyDescent="0.25">
      <c r="A15" s="21" t="s">
        <v>2919</v>
      </c>
      <c r="B15" s="22" t="s">
        <v>32</v>
      </c>
      <c r="C15" s="22" t="s">
        <v>2865</v>
      </c>
      <c r="D15" s="22" t="s">
        <v>2920</v>
      </c>
      <c r="E15" s="22" t="s">
        <v>2921</v>
      </c>
      <c r="F15" s="22" t="s">
        <v>2922</v>
      </c>
      <c r="G15" s="22" t="s">
        <v>85</v>
      </c>
      <c r="H15" s="26" t="s">
        <v>73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2923</v>
      </c>
    </row>
    <row r="16" ht="24" customHeight="1" spans="1:17" x14ac:dyDescent="0.25">
      <c r="A16" s="21" t="s">
        <v>2924</v>
      </c>
      <c r="B16" s="22" t="s">
        <v>32</v>
      </c>
      <c r="C16" s="22" t="s">
        <v>2865</v>
      </c>
      <c r="D16" s="22" t="s">
        <v>2925</v>
      </c>
      <c r="E16" s="22" t="s">
        <v>2926</v>
      </c>
      <c r="F16" s="22" t="s">
        <v>2927</v>
      </c>
      <c r="G16" s="22" t="s">
        <v>2928</v>
      </c>
      <c r="H16" s="23" t="s">
        <v>63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2929</v>
      </c>
    </row>
    <row r="17" ht="24" customHeight="1" spans="1:17" x14ac:dyDescent="0.25">
      <c r="A17" s="21" t="s">
        <v>2930</v>
      </c>
      <c r="B17" s="22" t="s">
        <v>32</v>
      </c>
      <c r="C17" s="22" t="s">
        <v>2865</v>
      </c>
      <c r="D17" s="22" t="s">
        <v>2931</v>
      </c>
      <c r="E17" s="22" t="s">
        <v>2932</v>
      </c>
      <c r="F17" s="22" t="s">
        <v>2933</v>
      </c>
      <c r="G17" s="22" t="s">
        <v>165</v>
      </c>
      <c r="H17" s="23" t="s">
        <v>63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2934</v>
      </c>
    </row>
    <row r="18" ht="24" customHeight="1" spans="1:17" x14ac:dyDescent="0.25">
      <c r="A18" s="21" t="s">
        <v>2935</v>
      </c>
      <c r="B18" s="22" t="s">
        <v>32</v>
      </c>
      <c r="C18" s="22" t="s">
        <v>2865</v>
      </c>
      <c r="D18" s="22" t="s">
        <v>2936</v>
      </c>
      <c r="E18" s="22" t="s">
        <v>2937</v>
      </c>
      <c r="F18" s="22" t="s">
        <v>2938</v>
      </c>
      <c r="G18" s="22" t="s">
        <v>165</v>
      </c>
      <c r="H18" s="26" t="s">
        <v>73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2939</v>
      </c>
    </row>
    <row r="19" ht="24" customHeight="1" spans="1:17" x14ac:dyDescent="0.25">
      <c r="A19" s="21" t="s">
        <v>2940</v>
      </c>
      <c r="B19" s="22" t="s">
        <v>32</v>
      </c>
      <c r="C19" s="22" t="s">
        <v>2865</v>
      </c>
      <c r="D19" s="22" t="s">
        <v>2941</v>
      </c>
      <c r="E19" s="22" t="s">
        <v>2942</v>
      </c>
      <c r="F19" s="22" t="s">
        <v>2943</v>
      </c>
      <c r="G19" s="22" t="s">
        <v>79</v>
      </c>
      <c r="H19" s="23" t="s">
        <v>63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2944</v>
      </c>
    </row>
    <row r="20" ht="24" customHeight="1" spans="1:17" x14ac:dyDescent="0.25">
      <c r="A20" s="21" t="s">
        <v>2945</v>
      </c>
      <c r="B20" s="22" t="s">
        <v>32</v>
      </c>
      <c r="C20" s="22" t="s">
        <v>2865</v>
      </c>
      <c r="D20" s="22" t="s">
        <v>2946</v>
      </c>
      <c r="E20" s="22" t="s">
        <v>2947</v>
      </c>
      <c r="F20" s="22" t="s">
        <v>2948</v>
      </c>
      <c r="G20" s="22" t="s">
        <v>2896</v>
      </c>
      <c r="H20" s="23" t="s">
        <v>63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2949</v>
      </c>
    </row>
    <row r="21" ht="24" customHeight="1" spans="1:17" x14ac:dyDescent="0.25">
      <c r="A21" s="21" t="s">
        <v>2950</v>
      </c>
      <c r="B21" s="22" t="s">
        <v>32</v>
      </c>
      <c r="C21" s="22" t="s">
        <v>2865</v>
      </c>
      <c r="D21" s="22" t="s">
        <v>2951</v>
      </c>
      <c r="E21" s="22" t="s">
        <v>2952</v>
      </c>
      <c r="F21" s="22" t="s">
        <v>2953</v>
      </c>
      <c r="G21" s="22" t="s">
        <v>2954</v>
      </c>
      <c r="H21" s="26" t="s">
        <v>73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2955</v>
      </c>
    </row>
    <row r="22" ht="24" customHeight="1" spans="1:17" x14ac:dyDescent="0.25">
      <c r="A22" s="21" t="s">
        <v>2956</v>
      </c>
      <c r="B22" s="22" t="s">
        <v>32</v>
      </c>
      <c r="C22" s="22" t="s">
        <v>2865</v>
      </c>
      <c r="D22" s="22" t="s">
        <v>2957</v>
      </c>
      <c r="E22" s="22" t="s">
        <v>2958</v>
      </c>
      <c r="F22" s="22" t="s">
        <v>2959</v>
      </c>
      <c r="G22" s="22" t="s">
        <v>2896</v>
      </c>
      <c r="H22" s="9" t="s">
        <v>101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2960</v>
      </c>
    </row>
    <row r="23" ht="24" customHeight="1" spans="1:17" x14ac:dyDescent="0.25">
      <c r="A23" s="21" t="s">
        <v>2961</v>
      </c>
      <c r="B23" s="22" t="s">
        <v>32</v>
      </c>
      <c r="C23" s="22" t="s">
        <v>2865</v>
      </c>
      <c r="D23" s="22" t="s">
        <v>2962</v>
      </c>
      <c r="E23" s="22" t="s">
        <v>2963</v>
      </c>
      <c r="F23" s="22" t="s">
        <v>2964</v>
      </c>
      <c r="G23" s="22" t="s">
        <v>2896</v>
      </c>
      <c r="H23" s="23" t="s">
        <v>63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2965</v>
      </c>
    </row>
    <row r="24" ht="24" customHeight="1" spans="1:17" x14ac:dyDescent="0.25">
      <c r="A24" s="21" t="s">
        <v>2966</v>
      </c>
      <c r="B24" s="22" t="s">
        <v>32</v>
      </c>
      <c r="C24" s="22" t="s">
        <v>2865</v>
      </c>
      <c r="D24" s="22" t="s">
        <v>2967</v>
      </c>
      <c r="E24" s="22" t="s">
        <v>2968</v>
      </c>
      <c r="F24" s="22" t="s">
        <v>2969</v>
      </c>
      <c r="G24" s="22" t="s">
        <v>154</v>
      </c>
      <c r="H24" s="23" t="s">
        <v>63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2970</v>
      </c>
    </row>
    <row r="25" ht="24" customHeight="1" spans="1:17" x14ac:dyDescent="0.25">
      <c r="A25" s="21" t="s">
        <v>2971</v>
      </c>
      <c r="B25" s="22" t="s">
        <v>32</v>
      </c>
      <c r="C25" s="22" t="s">
        <v>2972</v>
      </c>
      <c r="D25" s="22" t="s">
        <v>2973</v>
      </c>
      <c r="E25" s="22" t="s">
        <v>2974</v>
      </c>
      <c r="F25" s="22" t="s">
        <v>2868</v>
      </c>
      <c r="G25" s="22" t="s">
        <v>2869</v>
      </c>
      <c r="H25" s="26" t="s">
        <v>73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2870</v>
      </c>
    </row>
    <row r="26" ht="24" customHeight="1" spans="1:17" x14ac:dyDescent="0.25">
      <c r="A26" s="21" t="s">
        <v>2975</v>
      </c>
      <c r="B26" s="22" t="s">
        <v>32</v>
      </c>
      <c r="C26" s="22" t="s">
        <v>2972</v>
      </c>
      <c r="D26" s="22" t="s">
        <v>2976</v>
      </c>
      <c r="E26" s="22" t="s">
        <v>2977</v>
      </c>
      <c r="F26" s="22" t="s">
        <v>2874</v>
      </c>
      <c r="G26" s="22" t="s">
        <v>2875</v>
      </c>
      <c r="H26" s="26" t="s">
        <v>73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2876</v>
      </c>
    </row>
    <row r="27" ht="24" customHeight="1" spans="1:17" x14ac:dyDescent="0.25">
      <c r="A27" s="21" t="s">
        <v>2978</v>
      </c>
      <c r="B27" s="22" t="s">
        <v>32</v>
      </c>
      <c r="C27" s="22" t="s">
        <v>2972</v>
      </c>
      <c r="D27" s="22" t="s">
        <v>2979</v>
      </c>
      <c r="E27" s="22" t="s">
        <v>2980</v>
      </c>
      <c r="F27" s="22" t="s">
        <v>2880</v>
      </c>
      <c r="G27" s="22" t="s">
        <v>165</v>
      </c>
      <c r="H27" s="26" t="s">
        <v>73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2881</v>
      </c>
    </row>
    <row r="28" ht="24" customHeight="1" spans="1:17" x14ac:dyDescent="0.25">
      <c r="A28" s="21" t="s">
        <v>2981</v>
      </c>
      <c r="B28" s="22" t="s">
        <v>32</v>
      </c>
      <c r="C28" s="22" t="s">
        <v>2972</v>
      </c>
      <c r="D28" s="22" t="s">
        <v>2982</v>
      </c>
      <c r="E28" s="22" t="s">
        <v>2983</v>
      </c>
      <c r="F28" s="22" t="s">
        <v>2885</v>
      </c>
      <c r="G28" s="22" t="s">
        <v>165</v>
      </c>
      <c r="H28" s="23" t="s">
        <v>63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2886</v>
      </c>
    </row>
    <row r="29" ht="24" customHeight="1" spans="1:17" x14ac:dyDescent="0.25">
      <c r="A29" s="21" t="s">
        <v>2984</v>
      </c>
      <c r="B29" s="22" t="s">
        <v>32</v>
      </c>
      <c r="C29" s="22" t="s">
        <v>2972</v>
      </c>
      <c r="D29" s="22" t="s">
        <v>2985</v>
      </c>
      <c r="E29" s="22" t="s">
        <v>2986</v>
      </c>
      <c r="F29" s="22" t="s">
        <v>2890</v>
      </c>
      <c r="G29" s="22" t="s">
        <v>2875</v>
      </c>
      <c r="H29" s="9" t="s">
        <v>101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2891</v>
      </c>
    </row>
    <row r="30" ht="24" customHeight="1" spans="1:17" x14ac:dyDescent="0.25">
      <c r="A30" s="21" t="s">
        <v>2987</v>
      </c>
      <c r="B30" s="22" t="s">
        <v>32</v>
      </c>
      <c r="C30" s="22" t="s">
        <v>2972</v>
      </c>
      <c r="D30" s="22" t="s">
        <v>2988</v>
      </c>
      <c r="E30" s="22" t="s">
        <v>2989</v>
      </c>
      <c r="F30" s="22" t="s">
        <v>2895</v>
      </c>
      <c r="G30" s="22" t="s">
        <v>2896</v>
      </c>
      <c r="H30" s="23" t="s">
        <v>63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2897</v>
      </c>
    </row>
    <row r="31" ht="24" customHeight="1" spans="1:17" x14ac:dyDescent="0.25">
      <c r="A31" s="21" t="s">
        <v>2990</v>
      </c>
      <c r="B31" s="22" t="s">
        <v>32</v>
      </c>
      <c r="C31" s="22" t="s">
        <v>2972</v>
      </c>
      <c r="D31" s="22" t="s">
        <v>2991</v>
      </c>
      <c r="E31" s="22" t="s">
        <v>2992</v>
      </c>
      <c r="F31" s="22" t="s">
        <v>2901</v>
      </c>
      <c r="G31" s="22" t="s">
        <v>2896</v>
      </c>
      <c r="H31" s="26" t="s">
        <v>73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2902</v>
      </c>
    </row>
    <row r="32" ht="24" customHeight="1" spans="1:17" x14ac:dyDescent="0.25">
      <c r="A32" s="21" t="s">
        <v>2993</v>
      </c>
      <c r="B32" s="22" t="s">
        <v>32</v>
      </c>
      <c r="C32" s="22" t="s">
        <v>2972</v>
      </c>
      <c r="D32" s="22" t="s">
        <v>2994</v>
      </c>
      <c r="E32" s="22" t="s">
        <v>2995</v>
      </c>
      <c r="F32" s="22" t="s">
        <v>2906</v>
      </c>
      <c r="G32" s="22" t="s">
        <v>2875</v>
      </c>
      <c r="H32" s="23" t="s">
        <v>63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2907</v>
      </c>
    </row>
    <row r="33" ht="24" customHeight="1" spans="1:17" x14ac:dyDescent="0.25">
      <c r="A33" s="21" t="s">
        <v>2996</v>
      </c>
      <c r="B33" s="22" t="s">
        <v>32</v>
      </c>
      <c r="C33" s="22" t="s">
        <v>2972</v>
      </c>
      <c r="D33" s="22" t="s">
        <v>2997</v>
      </c>
      <c r="E33" s="22" t="s">
        <v>2998</v>
      </c>
      <c r="F33" s="22" t="s">
        <v>2911</v>
      </c>
      <c r="G33" s="22" t="s">
        <v>2912</v>
      </c>
      <c r="H33" s="26" t="s">
        <v>73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2913</v>
      </c>
    </row>
    <row r="34" ht="24" customHeight="1" spans="1:17" x14ac:dyDescent="0.25">
      <c r="A34" s="21" t="s">
        <v>2999</v>
      </c>
      <c r="B34" s="22" t="s">
        <v>32</v>
      </c>
      <c r="C34" s="22" t="s">
        <v>2972</v>
      </c>
      <c r="D34" s="22" t="s">
        <v>3000</v>
      </c>
      <c r="E34" s="22" t="s">
        <v>3001</v>
      </c>
      <c r="F34" s="22" t="s">
        <v>2917</v>
      </c>
      <c r="G34" s="22" t="s">
        <v>448</v>
      </c>
      <c r="H34" s="23" t="s">
        <v>63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2918</v>
      </c>
    </row>
    <row r="35" ht="24" customHeight="1" spans="1:17" x14ac:dyDescent="0.25">
      <c r="A35" s="21" t="s">
        <v>3002</v>
      </c>
      <c r="B35" s="22" t="s">
        <v>32</v>
      </c>
      <c r="C35" s="22" t="s">
        <v>2972</v>
      </c>
      <c r="D35" s="22" t="s">
        <v>3003</v>
      </c>
      <c r="E35" s="22" t="s">
        <v>3004</v>
      </c>
      <c r="F35" s="22" t="s">
        <v>2922</v>
      </c>
      <c r="G35" s="22" t="s">
        <v>85</v>
      </c>
      <c r="H35" s="26" t="s">
        <v>73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2923</v>
      </c>
    </row>
    <row r="36" ht="24" customHeight="1" spans="1:17" x14ac:dyDescent="0.25">
      <c r="A36" s="21" t="s">
        <v>3005</v>
      </c>
      <c r="B36" s="22" t="s">
        <v>32</v>
      </c>
      <c r="C36" s="22" t="s">
        <v>2972</v>
      </c>
      <c r="D36" s="22" t="s">
        <v>3006</v>
      </c>
      <c r="E36" s="22" t="s">
        <v>3007</v>
      </c>
      <c r="F36" s="22" t="s">
        <v>2927</v>
      </c>
      <c r="G36" s="22" t="s">
        <v>2928</v>
      </c>
      <c r="H36" s="23" t="s">
        <v>63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2929</v>
      </c>
    </row>
    <row r="37" ht="24" customHeight="1" spans="1:17" x14ac:dyDescent="0.25">
      <c r="A37" s="21" t="s">
        <v>3008</v>
      </c>
      <c r="B37" s="22" t="s">
        <v>32</v>
      </c>
      <c r="C37" s="22" t="s">
        <v>2972</v>
      </c>
      <c r="D37" s="22" t="s">
        <v>3009</v>
      </c>
      <c r="E37" s="22" t="s">
        <v>3010</v>
      </c>
      <c r="F37" s="22" t="s">
        <v>2933</v>
      </c>
      <c r="G37" s="22" t="s">
        <v>165</v>
      </c>
      <c r="H37" s="23" t="s">
        <v>63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2934</v>
      </c>
    </row>
    <row r="38" ht="24" customHeight="1" spans="1:17" x14ac:dyDescent="0.25">
      <c r="A38" s="21" t="s">
        <v>3011</v>
      </c>
      <c r="B38" s="22" t="s">
        <v>32</v>
      </c>
      <c r="C38" s="22" t="s">
        <v>2972</v>
      </c>
      <c r="D38" s="22" t="s">
        <v>3012</v>
      </c>
      <c r="E38" s="22" t="s">
        <v>3013</v>
      </c>
      <c r="F38" s="22" t="s">
        <v>2938</v>
      </c>
      <c r="G38" s="22" t="s">
        <v>165</v>
      </c>
      <c r="H38" s="26" t="s">
        <v>73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2939</v>
      </c>
    </row>
    <row r="39" ht="24" customHeight="1" spans="1:17" x14ac:dyDescent="0.25">
      <c r="A39" s="21" t="s">
        <v>3014</v>
      </c>
      <c r="B39" s="22" t="s">
        <v>32</v>
      </c>
      <c r="C39" s="22" t="s">
        <v>2972</v>
      </c>
      <c r="D39" s="22" t="s">
        <v>3015</v>
      </c>
      <c r="E39" s="22" t="s">
        <v>3016</v>
      </c>
      <c r="F39" s="22" t="s">
        <v>2943</v>
      </c>
      <c r="G39" s="22" t="s">
        <v>79</v>
      </c>
      <c r="H39" s="23" t="s">
        <v>63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2944</v>
      </c>
    </row>
    <row r="40" ht="24" customHeight="1" spans="1:17" x14ac:dyDescent="0.25">
      <c r="A40" s="21" t="s">
        <v>3017</v>
      </c>
      <c r="B40" s="22" t="s">
        <v>32</v>
      </c>
      <c r="C40" s="22" t="s">
        <v>2972</v>
      </c>
      <c r="D40" s="22" t="s">
        <v>3018</v>
      </c>
      <c r="E40" s="22" t="s">
        <v>3019</v>
      </c>
      <c r="F40" s="22" t="s">
        <v>2948</v>
      </c>
      <c r="G40" s="22" t="s">
        <v>2896</v>
      </c>
      <c r="H40" s="23" t="s">
        <v>63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2949</v>
      </c>
    </row>
    <row r="41" ht="24" customHeight="1" spans="1:17" x14ac:dyDescent="0.25">
      <c r="A41" s="21" t="s">
        <v>3020</v>
      </c>
      <c r="B41" s="22" t="s">
        <v>32</v>
      </c>
      <c r="C41" s="22" t="s">
        <v>2972</v>
      </c>
      <c r="D41" s="22" t="s">
        <v>3021</v>
      </c>
      <c r="E41" s="22" t="s">
        <v>3022</v>
      </c>
      <c r="F41" s="22" t="s">
        <v>2953</v>
      </c>
      <c r="G41" s="22" t="s">
        <v>2954</v>
      </c>
      <c r="H41" s="26" t="s">
        <v>73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2955</v>
      </c>
    </row>
    <row r="42" ht="24" customHeight="1" spans="1:17" x14ac:dyDescent="0.25">
      <c r="A42" s="21" t="s">
        <v>3023</v>
      </c>
      <c r="B42" s="22" t="s">
        <v>32</v>
      </c>
      <c r="C42" s="22" t="s">
        <v>2972</v>
      </c>
      <c r="D42" s="22" t="s">
        <v>3024</v>
      </c>
      <c r="E42" s="22" t="s">
        <v>3025</v>
      </c>
      <c r="F42" s="22" t="s">
        <v>2959</v>
      </c>
      <c r="G42" s="22" t="s">
        <v>2896</v>
      </c>
      <c r="H42" s="9" t="s">
        <v>101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2960</v>
      </c>
    </row>
    <row r="43" ht="24" customHeight="1" spans="1:17" x14ac:dyDescent="0.25">
      <c r="A43" s="21" t="s">
        <v>3026</v>
      </c>
      <c r="B43" s="22" t="s">
        <v>32</v>
      </c>
      <c r="C43" s="22" t="s">
        <v>2972</v>
      </c>
      <c r="D43" s="22" t="s">
        <v>3027</v>
      </c>
      <c r="E43" s="22" t="s">
        <v>3028</v>
      </c>
      <c r="F43" s="22" t="s">
        <v>2964</v>
      </c>
      <c r="G43" s="22" t="s">
        <v>2896</v>
      </c>
      <c r="H43" s="23" t="s">
        <v>63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2965</v>
      </c>
    </row>
    <row r="44" ht="24" customHeight="1" spans="1:17" x14ac:dyDescent="0.25">
      <c r="A44" s="21" t="s">
        <v>3029</v>
      </c>
      <c r="B44" s="22" t="s">
        <v>32</v>
      </c>
      <c r="C44" s="22" t="s">
        <v>2972</v>
      </c>
      <c r="D44" s="22" t="s">
        <v>3030</v>
      </c>
      <c r="E44" s="22" t="s">
        <v>3031</v>
      </c>
      <c r="F44" s="22" t="s">
        <v>2969</v>
      </c>
      <c r="G44" s="22" t="s">
        <v>154</v>
      </c>
      <c r="H44" s="23" t="s">
        <v>63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2970</v>
      </c>
    </row>
    <row r="45" ht="24" customHeight="1" spans="1:17" x14ac:dyDescent="0.25">
      <c r="A45" s="21" t="s">
        <v>3032</v>
      </c>
      <c r="B45" s="22" t="s">
        <v>32</v>
      </c>
      <c r="C45" s="22" t="s">
        <v>3033</v>
      </c>
      <c r="D45" s="22" t="s">
        <v>3034</v>
      </c>
      <c r="E45" s="22" t="s">
        <v>3035</v>
      </c>
      <c r="F45" s="22" t="s">
        <v>2868</v>
      </c>
      <c r="G45" s="22" t="s">
        <v>2869</v>
      </c>
      <c r="H45" s="26" t="s">
        <v>73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2870</v>
      </c>
    </row>
    <row r="46" ht="24" customHeight="1" spans="1:17" x14ac:dyDescent="0.25">
      <c r="A46" s="21" t="s">
        <v>3036</v>
      </c>
      <c r="B46" s="22" t="s">
        <v>32</v>
      </c>
      <c r="C46" s="22" t="s">
        <v>3033</v>
      </c>
      <c r="D46" s="22" t="s">
        <v>3037</v>
      </c>
      <c r="E46" s="22" t="s">
        <v>3038</v>
      </c>
      <c r="F46" s="22" t="s">
        <v>2874</v>
      </c>
      <c r="G46" s="22" t="s">
        <v>2875</v>
      </c>
      <c r="H46" s="26" t="s">
        <v>73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2876</v>
      </c>
    </row>
    <row r="47" ht="24" customHeight="1" spans="1:17" x14ac:dyDescent="0.25">
      <c r="A47" s="21" t="s">
        <v>3039</v>
      </c>
      <c r="B47" s="22" t="s">
        <v>32</v>
      </c>
      <c r="C47" s="22" t="s">
        <v>3033</v>
      </c>
      <c r="D47" s="22" t="s">
        <v>3040</v>
      </c>
      <c r="E47" s="22" t="s">
        <v>3041</v>
      </c>
      <c r="F47" s="22" t="s">
        <v>2880</v>
      </c>
      <c r="G47" s="22" t="s">
        <v>165</v>
      </c>
      <c r="H47" s="26" t="s">
        <v>73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2881</v>
      </c>
    </row>
    <row r="48" ht="24" customHeight="1" spans="1:17" x14ac:dyDescent="0.25">
      <c r="A48" s="21" t="s">
        <v>3042</v>
      </c>
      <c r="B48" s="22" t="s">
        <v>32</v>
      </c>
      <c r="C48" s="22" t="s">
        <v>3033</v>
      </c>
      <c r="D48" s="22" t="s">
        <v>3043</v>
      </c>
      <c r="E48" s="22" t="s">
        <v>3044</v>
      </c>
      <c r="F48" s="22" t="s">
        <v>2885</v>
      </c>
      <c r="G48" s="22" t="s">
        <v>165</v>
      </c>
      <c r="H48" s="23" t="s">
        <v>63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2886</v>
      </c>
    </row>
    <row r="49" ht="24" customHeight="1" spans="1:17" x14ac:dyDescent="0.25">
      <c r="A49" s="21" t="s">
        <v>3045</v>
      </c>
      <c r="B49" s="22" t="s">
        <v>32</v>
      </c>
      <c r="C49" s="22" t="s">
        <v>3033</v>
      </c>
      <c r="D49" s="22" t="s">
        <v>3046</v>
      </c>
      <c r="E49" s="22" t="s">
        <v>3047</v>
      </c>
      <c r="F49" s="22" t="s">
        <v>2890</v>
      </c>
      <c r="G49" s="22" t="s">
        <v>2875</v>
      </c>
      <c r="H49" s="9" t="s">
        <v>101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2891</v>
      </c>
    </row>
    <row r="50" ht="24" customHeight="1" spans="1:17" x14ac:dyDescent="0.25">
      <c r="A50" s="21" t="s">
        <v>3048</v>
      </c>
      <c r="B50" s="22" t="s">
        <v>32</v>
      </c>
      <c r="C50" s="22" t="s">
        <v>3033</v>
      </c>
      <c r="D50" s="22" t="s">
        <v>3049</v>
      </c>
      <c r="E50" s="22" t="s">
        <v>3050</v>
      </c>
      <c r="F50" s="22" t="s">
        <v>2895</v>
      </c>
      <c r="G50" s="22" t="s">
        <v>2896</v>
      </c>
      <c r="H50" s="23" t="s">
        <v>63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2897</v>
      </c>
    </row>
    <row r="51" ht="24" customHeight="1" spans="1:17" x14ac:dyDescent="0.25">
      <c r="A51" s="21" t="s">
        <v>3051</v>
      </c>
      <c r="B51" s="22" t="s">
        <v>32</v>
      </c>
      <c r="C51" s="22" t="s">
        <v>3033</v>
      </c>
      <c r="D51" s="22" t="s">
        <v>3052</v>
      </c>
      <c r="E51" s="22" t="s">
        <v>3053</v>
      </c>
      <c r="F51" s="22" t="s">
        <v>2901</v>
      </c>
      <c r="G51" s="22" t="s">
        <v>2896</v>
      </c>
      <c r="H51" s="26" t="s">
        <v>73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2902</v>
      </c>
    </row>
    <row r="52" ht="24" customHeight="1" spans="1:17" x14ac:dyDescent="0.25">
      <c r="A52" s="21" t="s">
        <v>3054</v>
      </c>
      <c r="B52" s="22" t="s">
        <v>32</v>
      </c>
      <c r="C52" s="22" t="s">
        <v>3033</v>
      </c>
      <c r="D52" s="22" t="s">
        <v>3055</v>
      </c>
      <c r="E52" s="22" t="s">
        <v>3056</v>
      </c>
      <c r="F52" s="22" t="s">
        <v>2906</v>
      </c>
      <c r="G52" s="22" t="s">
        <v>2875</v>
      </c>
      <c r="H52" s="23" t="s">
        <v>63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2907</v>
      </c>
    </row>
    <row r="53" ht="24" customHeight="1" spans="1:17" x14ac:dyDescent="0.25">
      <c r="A53" s="21" t="s">
        <v>3057</v>
      </c>
      <c r="B53" s="22" t="s">
        <v>32</v>
      </c>
      <c r="C53" s="22" t="s">
        <v>3033</v>
      </c>
      <c r="D53" s="22" t="s">
        <v>3058</v>
      </c>
      <c r="E53" s="22" t="s">
        <v>3059</v>
      </c>
      <c r="F53" s="22" t="s">
        <v>2911</v>
      </c>
      <c r="G53" s="22" t="s">
        <v>2912</v>
      </c>
      <c r="H53" s="26" t="s">
        <v>73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2913</v>
      </c>
    </row>
    <row r="54" ht="24" customHeight="1" spans="1:17" x14ac:dyDescent="0.25">
      <c r="A54" s="21" t="s">
        <v>3060</v>
      </c>
      <c r="B54" s="22" t="s">
        <v>32</v>
      </c>
      <c r="C54" s="22" t="s">
        <v>3033</v>
      </c>
      <c r="D54" s="22" t="s">
        <v>3061</v>
      </c>
      <c r="E54" s="22" t="s">
        <v>3062</v>
      </c>
      <c r="F54" s="22" t="s">
        <v>2917</v>
      </c>
      <c r="G54" s="22" t="s">
        <v>448</v>
      </c>
      <c r="H54" s="23" t="s">
        <v>63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2918</v>
      </c>
    </row>
    <row r="55" ht="24" customHeight="1" spans="1:17" x14ac:dyDescent="0.25">
      <c r="A55" s="21" t="s">
        <v>3063</v>
      </c>
      <c r="B55" s="22" t="s">
        <v>32</v>
      </c>
      <c r="C55" s="22" t="s">
        <v>3033</v>
      </c>
      <c r="D55" s="22" t="s">
        <v>3064</v>
      </c>
      <c r="E55" s="22" t="s">
        <v>3065</v>
      </c>
      <c r="F55" s="22" t="s">
        <v>2922</v>
      </c>
      <c r="G55" s="22" t="s">
        <v>85</v>
      </c>
      <c r="H55" s="26" t="s">
        <v>73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2923</v>
      </c>
    </row>
    <row r="56" ht="24" customHeight="1" spans="1:17" x14ac:dyDescent="0.25">
      <c r="A56" s="21" t="s">
        <v>3066</v>
      </c>
      <c r="B56" s="22" t="s">
        <v>32</v>
      </c>
      <c r="C56" s="22" t="s">
        <v>3033</v>
      </c>
      <c r="D56" s="22" t="s">
        <v>3067</v>
      </c>
      <c r="E56" s="22" t="s">
        <v>3068</v>
      </c>
      <c r="F56" s="22" t="s">
        <v>2927</v>
      </c>
      <c r="G56" s="22" t="s">
        <v>2928</v>
      </c>
      <c r="H56" s="23" t="s">
        <v>63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2929</v>
      </c>
    </row>
    <row r="57" ht="24" customHeight="1" spans="1:17" x14ac:dyDescent="0.25">
      <c r="A57" s="21" t="s">
        <v>3069</v>
      </c>
      <c r="B57" s="22" t="s">
        <v>32</v>
      </c>
      <c r="C57" s="22" t="s">
        <v>3033</v>
      </c>
      <c r="D57" s="22" t="s">
        <v>3070</v>
      </c>
      <c r="E57" s="22" t="s">
        <v>3071</v>
      </c>
      <c r="F57" s="22" t="s">
        <v>2933</v>
      </c>
      <c r="G57" s="22" t="s">
        <v>165</v>
      </c>
      <c r="H57" s="23" t="s">
        <v>63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2934</v>
      </c>
    </row>
    <row r="58" ht="24" customHeight="1" spans="1:17" x14ac:dyDescent="0.25">
      <c r="A58" s="21" t="s">
        <v>3072</v>
      </c>
      <c r="B58" s="22" t="s">
        <v>32</v>
      </c>
      <c r="C58" s="22" t="s">
        <v>3033</v>
      </c>
      <c r="D58" s="22" t="s">
        <v>3073</v>
      </c>
      <c r="E58" s="22" t="s">
        <v>3074</v>
      </c>
      <c r="F58" s="22" t="s">
        <v>2938</v>
      </c>
      <c r="G58" s="22" t="s">
        <v>165</v>
      </c>
      <c r="H58" s="26" t="s">
        <v>73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2939</v>
      </c>
    </row>
    <row r="59" ht="24" customHeight="1" spans="1:17" x14ac:dyDescent="0.25">
      <c r="A59" s="21" t="s">
        <v>3075</v>
      </c>
      <c r="B59" s="22" t="s">
        <v>32</v>
      </c>
      <c r="C59" s="22" t="s">
        <v>3033</v>
      </c>
      <c r="D59" s="22" t="s">
        <v>3076</v>
      </c>
      <c r="E59" s="22" t="s">
        <v>3077</v>
      </c>
      <c r="F59" s="22" t="s">
        <v>2943</v>
      </c>
      <c r="G59" s="22" t="s">
        <v>79</v>
      </c>
      <c r="H59" s="23" t="s">
        <v>63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2944</v>
      </c>
    </row>
    <row r="60" ht="24" customHeight="1" spans="1:17" x14ac:dyDescent="0.25">
      <c r="A60" s="21" t="s">
        <v>3078</v>
      </c>
      <c r="B60" s="22" t="s">
        <v>32</v>
      </c>
      <c r="C60" s="22" t="s">
        <v>3033</v>
      </c>
      <c r="D60" s="22" t="s">
        <v>3079</v>
      </c>
      <c r="E60" s="22" t="s">
        <v>3080</v>
      </c>
      <c r="F60" s="22" t="s">
        <v>2948</v>
      </c>
      <c r="G60" s="22" t="s">
        <v>2896</v>
      </c>
      <c r="H60" s="23" t="s">
        <v>63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2949</v>
      </c>
    </row>
    <row r="61" ht="24" customHeight="1" spans="1:17" x14ac:dyDescent="0.25">
      <c r="A61" s="21" t="s">
        <v>3081</v>
      </c>
      <c r="B61" s="22" t="s">
        <v>32</v>
      </c>
      <c r="C61" s="22" t="s">
        <v>3033</v>
      </c>
      <c r="D61" s="22" t="s">
        <v>3082</v>
      </c>
      <c r="E61" s="22" t="s">
        <v>3083</v>
      </c>
      <c r="F61" s="22" t="s">
        <v>2953</v>
      </c>
      <c r="G61" s="22" t="s">
        <v>2954</v>
      </c>
      <c r="H61" s="26" t="s">
        <v>73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2955</v>
      </c>
    </row>
    <row r="62" ht="24" customHeight="1" spans="1:17" x14ac:dyDescent="0.25">
      <c r="A62" s="21" t="s">
        <v>3084</v>
      </c>
      <c r="B62" s="22" t="s">
        <v>32</v>
      </c>
      <c r="C62" s="22" t="s">
        <v>3033</v>
      </c>
      <c r="D62" s="22" t="s">
        <v>3085</v>
      </c>
      <c r="E62" s="22" t="s">
        <v>3086</v>
      </c>
      <c r="F62" s="22" t="s">
        <v>2959</v>
      </c>
      <c r="G62" s="22" t="s">
        <v>2896</v>
      </c>
      <c r="H62" s="9" t="s">
        <v>101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2960</v>
      </c>
    </row>
    <row r="63" ht="24" customHeight="1" spans="1:17" x14ac:dyDescent="0.25">
      <c r="A63" s="21" t="s">
        <v>3087</v>
      </c>
      <c r="B63" s="22" t="s">
        <v>32</v>
      </c>
      <c r="C63" s="22" t="s">
        <v>3033</v>
      </c>
      <c r="D63" s="22" t="s">
        <v>3088</v>
      </c>
      <c r="E63" s="22" t="s">
        <v>3089</v>
      </c>
      <c r="F63" s="22" t="s">
        <v>2964</v>
      </c>
      <c r="G63" s="22" t="s">
        <v>2896</v>
      </c>
      <c r="H63" s="23" t="s">
        <v>63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2965</v>
      </c>
    </row>
    <row r="64" ht="24" customHeight="1" spans="1:17" x14ac:dyDescent="0.25">
      <c r="A64" s="21" t="s">
        <v>3090</v>
      </c>
      <c r="B64" s="22" t="s">
        <v>32</v>
      </c>
      <c r="C64" s="22" t="s">
        <v>3033</v>
      </c>
      <c r="D64" s="22" t="s">
        <v>3091</v>
      </c>
      <c r="E64" s="22" t="s">
        <v>3092</v>
      </c>
      <c r="F64" s="22" t="s">
        <v>2969</v>
      </c>
      <c r="G64" s="22" t="s">
        <v>154</v>
      </c>
      <c r="H64" s="23" t="s">
        <v>63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2970</v>
      </c>
    </row>
    <row r="65" ht="24" customHeight="1" spans="1:17" x14ac:dyDescent="0.25">
      <c r="A65" s="21" t="s">
        <v>3093</v>
      </c>
      <c r="B65" s="22" t="s">
        <v>32</v>
      </c>
      <c r="C65" s="22" t="s">
        <v>3094</v>
      </c>
      <c r="D65" s="22" t="s">
        <v>3095</v>
      </c>
      <c r="E65" s="22" t="s">
        <v>3096</v>
      </c>
      <c r="F65" s="22" t="s">
        <v>2868</v>
      </c>
      <c r="G65" s="22" t="s">
        <v>2869</v>
      </c>
      <c r="H65" s="26" t="s">
        <v>73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2870</v>
      </c>
    </row>
    <row r="66" ht="24" customHeight="1" spans="1:17" x14ac:dyDescent="0.25">
      <c r="A66" s="21" t="s">
        <v>3097</v>
      </c>
      <c r="B66" s="22" t="s">
        <v>32</v>
      </c>
      <c r="C66" s="22" t="s">
        <v>3094</v>
      </c>
      <c r="D66" s="22" t="s">
        <v>3098</v>
      </c>
      <c r="E66" s="22" t="s">
        <v>3099</v>
      </c>
      <c r="F66" s="22" t="s">
        <v>2874</v>
      </c>
      <c r="G66" s="22" t="s">
        <v>2875</v>
      </c>
      <c r="H66" s="26" t="s">
        <v>73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2876</v>
      </c>
    </row>
    <row r="67" ht="24" customHeight="1" spans="1:17" x14ac:dyDescent="0.25">
      <c r="A67" s="21" t="s">
        <v>3100</v>
      </c>
      <c r="B67" s="22" t="s">
        <v>32</v>
      </c>
      <c r="C67" s="22" t="s">
        <v>3094</v>
      </c>
      <c r="D67" s="22" t="s">
        <v>3101</v>
      </c>
      <c r="E67" s="22" t="s">
        <v>3102</v>
      </c>
      <c r="F67" s="22" t="s">
        <v>2880</v>
      </c>
      <c r="G67" s="22" t="s">
        <v>165</v>
      </c>
      <c r="H67" s="26" t="s">
        <v>73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2881</v>
      </c>
    </row>
    <row r="68" ht="24" customHeight="1" spans="1:17" x14ac:dyDescent="0.25">
      <c r="A68" s="21" t="s">
        <v>3103</v>
      </c>
      <c r="B68" s="22" t="s">
        <v>32</v>
      </c>
      <c r="C68" s="22" t="s">
        <v>3094</v>
      </c>
      <c r="D68" s="22" t="s">
        <v>3104</v>
      </c>
      <c r="E68" s="22" t="s">
        <v>3105</v>
      </c>
      <c r="F68" s="22" t="s">
        <v>2885</v>
      </c>
      <c r="G68" s="22" t="s">
        <v>165</v>
      </c>
      <c r="H68" s="23" t="s">
        <v>63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2886</v>
      </c>
    </row>
    <row r="69" ht="24" customHeight="1" spans="1:17" x14ac:dyDescent="0.25">
      <c r="A69" s="21" t="s">
        <v>3106</v>
      </c>
      <c r="B69" s="22" t="s">
        <v>32</v>
      </c>
      <c r="C69" s="22" t="s">
        <v>3094</v>
      </c>
      <c r="D69" s="22" t="s">
        <v>3107</v>
      </c>
      <c r="E69" s="22" t="s">
        <v>3108</v>
      </c>
      <c r="F69" s="22" t="s">
        <v>2890</v>
      </c>
      <c r="G69" s="22" t="s">
        <v>2875</v>
      </c>
      <c r="H69" s="9" t="s">
        <v>101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2891</v>
      </c>
    </row>
    <row r="70" ht="24" customHeight="1" spans="1:17" x14ac:dyDescent="0.25">
      <c r="A70" s="21" t="s">
        <v>3109</v>
      </c>
      <c r="B70" s="22" t="s">
        <v>32</v>
      </c>
      <c r="C70" s="22" t="s">
        <v>3094</v>
      </c>
      <c r="D70" s="22" t="s">
        <v>3110</v>
      </c>
      <c r="E70" s="22" t="s">
        <v>3111</v>
      </c>
      <c r="F70" s="22" t="s">
        <v>2895</v>
      </c>
      <c r="G70" s="22" t="s">
        <v>2896</v>
      </c>
      <c r="H70" s="23" t="s">
        <v>63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2897</v>
      </c>
    </row>
    <row r="71" ht="24" customHeight="1" spans="1:17" x14ac:dyDescent="0.25">
      <c r="A71" s="21" t="s">
        <v>3112</v>
      </c>
      <c r="B71" s="22" t="s">
        <v>32</v>
      </c>
      <c r="C71" s="22" t="s">
        <v>3094</v>
      </c>
      <c r="D71" s="22" t="s">
        <v>3113</v>
      </c>
      <c r="E71" s="22" t="s">
        <v>3114</v>
      </c>
      <c r="F71" s="22" t="s">
        <v>2901</v>
      </c>
      <c r="G71" s="22" t="s">
        <v>2896</v>
      </c>
      <c r="H71" s="26" t="s">
        <v>73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2902</v>
      </c>
    </row>
    <row r="72" ht="24" customHeight="1" spans="1:17" x14ac:dyDescent="0.25">
      <c r="A72" s="21" t="s">
        <v>3115</v>
      </c>
      <c r="B72" s="22" t="s">
        <v>32</v>
      </c>
      <c r="C72" s="22" t="s">
        <v>3094</v>
      </c>
      <c r="D72" s="22" t="s">
        <v>3116</v>
      </c>
      <c r="E72" s="22" t="s">
        <v>3117</v>
      </c>
      <c r="F72" s="22" t="s">
        <v>2906</v>
      </c>
      <c r="G72" s="22" t="s">
        <v>2875</v>
      </c>
      <c r="H72" s="23" t="s">
        <v>63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2907</v>
      </c>
    </row>
    <row r="73" ht="24" customHeight="1" spans="1:17" x14ac:dyDescent="0.25">
      <c r="A73" s="21" t="s">
        <v>3118</v>
      </c>
      <c r="B73" s="22" t="s">
        <v>32</v>
      </c>
      <c r="C73" s="22" t="s">
        <v>3094</v>
      </c>
      <c r="D73" s="22" t="s">
        <v>3119</v>
      </c>
      <c r="E73" s="22" t="s">
        <v>3120</v>
      </c>
      <c r="F73" s="22" t="s">
        <v>2911</v>
      </c>
      <c r="G73" s="22" t="s">
        <v>2912</v>
      </c>
      <c r="H73" s="26" t="s">
        <v>73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2913</v>
      </c>
    </row>
    <row r="74" ht="24" customHeight="1" spans="1:17" x14ac:dyDescent="0.25">
      <c r="A74" s="21" t="s">
        <v>3121</v>
      </c>
      <c r="B74" s="22" t="s">
        <v>32</v>
      </c>
      <c r="C74" s="22" t="s">
        <v>3094</v>
      </c>
      <c r="D74" s="22" t="s">
        <v>3122</v>
      </c>
      <c r="E74" s="22" t="s">
        <v>3123</v>
      </c>
      <c r="F74" s="22" t="s">
        <v>2917</v>
      </c>
      <c r="G74" s="22" t="s">
        <v>448</v>
      </c>
      <c r="H74" s="23" t="s">
        <v>63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2918</v>
      </c>
    </row>
    <row r="75" ht="24" customHeight="1" spans="1:17" x14ac:dyDescent="0.25">
      <c r="A75" s="21" t="s">
        <v>3124</v>
      </c>
      <c r="B75" s="22" t="s">
        <v>32</v>
      </c>
      <c r="C75" s="22" t="s">
        <v>3094</v>
      </c>
      <c r="D75" s="22" t="s">
        <v>3125</v>
      </c>
      <c r="E75" s="22" t="s">
        <v>3126</v>
      </c>
      <c r="F75" s="22" t="s">
        <v>2922</v>
      </c>
      <c r="G75" s="22" t="s">
        <v>85</v>
      </c>
      <c r="H75" s="26" t="s">
        <v>73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2923</v>
      </c>
    </row>
    <row r="76" ht="24" customHeight="1" spans="1:17" x14ac:dyDescent="0.25">
      <c r="A76" s="21" t="s">
        <v>3127</v>
      </c>
      <c r="B76" s="22" t="s">
        <v>32</v>
      </c>
      <c r="C76" s="22" t="s">
        <v>3094</v>
      </c>
      <c r="D76" s="22" t="s">
        <v>3128</v>
      </c>
      <c r="E76" s="22" t="s">
        <v>3129</v>
      </c>
      <c r="F76" s="22" t="s">
        <v>2927</v>
      </c>
      <c r="G76" s="22" t="s">
        <v>2928</v>
      </c>
      <c r="H76" s="23" t="s">
        <v>63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2929</v>
      </c>
    </row>
    <row r="77" ht="24" customHeight="1" spans="1:17" x14ac:dyDescent="0.25">
      <c r="A77" s="21" t="s">
        <v>3130</v>
      </c>
      <c r="B77" s="22" t="s">
        <v>32</v>
      </c>
      <c r="C77" s="22" t="s">
        <v>3094</v>
      </c>
      <c r="D77" s="22" t="s">
        <v>3131</v>
      </c>
      <c r="E77" s="22" t="s">
        <v>3132</v>
      </c>
      <c r="F77" s="22" t="s">
        <v>2933</v>
      </c>
      <c r="G77" s="22" t="s">
        <v>165</v>
      </c>
      <c r="H77" s="23" t="s">
        <v>63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2934</v>
      </c>
    </row>
    <row r="78" ht="24" customHeight="1" spans="1:17" x14ac:dyDescent="0.25">
      <c r="A78" s="21" t="s">
        <v>3133</v>
      </c>
      <c r="B78" s="22" t="s">
        <v>32</v>
      </c>
      <c r="C78" s="22" t="s">
        <v>3094</v>
      </c>
      <c r="D78" s="22" t="s">
        <v>3134</v>
      </c>
      <c r="E78" s="22" t="s">
        <v>3135</v>
      </c>
      <c r="F78" s="22" t="s">
        <v>2938</v>
      </c>
      <c r="G78" s="22" t="s">
        <v>165</v>
      </c>
      <c r="H78" s="26" t="s">
        <v>73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2939</v>
      </c>
    </row>
    <row r="79" ht="24" customHeight="1" spans="1:17" x14ac:dyDescent="0.25">
      <c r="A79" s="21" t="s">
        <v>3136</v>
      </c>
      <c r="B79" s="22" t="s">
        <v>32</v>
      </c>
      <c r="C79" s="22" t="s">
        <v>3094</v>
      </c>
      <c r="D79" s="22" t="s">
        <v>3137</v>
      </c>
      <c r="E79" s="22" t="s">
        <v>3138</v>
      </c>
      <c r="F79" s="22" t="s">
        <v>2943</v>
      </c>
      <c r="G79" s="22" t="s">
        <v>79</v>
      </c>
      <c r="H79" s="23" t="s">
        <v>63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2944</v>
      </c>
    </row>
    <row r="80" ht="24" customHeight="1" spans="1:17" x14ac:dyDescent="0.25">
      <c r="A80" s="21" t="s">
        <v>3139</v>
      </c>
      <c r="B80" s="22" t="s">
        <v>32</v>
      </c>
      <c r="C80" s="22" t="s">
        <v>3094</v>
      </c>
      <c r="D80" s="22" t="s">
        <v>3140</v>
      </c>
      <c r="E80" s="22" t="s">
        <v>3141</v>
      </c>
      <c r="F80" s="22" t="s">
        <v>2948</v>
      </c>
      <c r="G80" s="22" t="s">
        <v>2896</v>
      </c>
      <c r="H80" s="23" t="s">
        <v>63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2949</v>
      </c>
    </row>
    <row r="81" ht="24" customHeight="1" spans="1:17" x14ac:dyDescent="0.25">
      <c r="A81" s="21" t="s">
        <v>3142</v>
      </c>
      <c r="B81" s="22" t="s">
        <v>32</v>
      </c>
      <c r="C81" s="22" t="s">
        <v>3094</v>
      </c>
      <c r="D81" s="22" t="s">
        <v>3143</v>
      </c>
      <c r="E81" s="22" t="s">
        <v>3144</v>
      </c>
      <c r="F81" s="22" t="s">
        <v>2953</v>
      </c>
      <c r="G81" s="22" t="s">
        <v>2954</v>
      </c>
      <c r="H81" s="26" t="s">
        <v>73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2955</v>
      </c>
    </row>
    <row r="82" ht="24" customHeight="1" spans="1:17" x14ac:dyDescent="0.25">
      <c r="A82" s="21" t="s">
        <v>3145</v>
      </c>
      <c r="B82" s="22" t="s">
        <v>32</v>
      </c>
      <c r="C82" s="22" t="s">
        <v>3094</v>
      </c>
      <c r="D82" s="22" t="s">
        <v>3146</v>
      </c>
      <c r="E82" s="22" t="s">
        <v>3147</v>
      </c>
      <c r="F82" s="22" t="s">
        <v>2959</v>
      </c>
      <c r="G82" s="22" t="s">
        <v>2896</v>
      </c>
      <c r="H82" s="9" t="s">
        <v>101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2960</v>
      </c>
    </row>
    <row r="83" ht="24" customHeight="1" spans="1:17" x14ac:dyDescent="0.25">
      <c r="A83" s="21" t="s">
        <v>3148</v>
      </c>
      <c r="B83" s="22" t="s">
        <v>32</v>
      </c>
      <c r="C83" s="22" t="s">
        <v>3094</v>
      </c>
      <c r="D83" s="22" t="s">
        <v>3149</v>
      </c>
      <c r="E83" s="22" t="s">
        <v>3150</v>
      </c>
      <c r="F83" s="22" t="s">
        <v>2964</v>
      </c>
      <c r="G83" s="22" t="s">
        <v>2896</v>
      </c>
      <c r="H83" s="23" t="s">
        <v>63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2965</v>
      </c>
    </row>
    <row r="84" ht="24" customHeight="1" spans="1:17" x14ac:dyDescent="0.25">
      <c r="A84" s="21" t="s">
        <v>3151</v>
      </c>
      <c r="B84" s="22" t="s">
        <v>32</v>
      </c>
      <c r="C84" s="22" t="s">
        <v>3094</v>
      </c>
      <c r="D84" s="22" t="s">
        <v>3152</v>
      </c>
      <c r="E84" s="22" t="s">
        <v>3153</v>
      </c>
      <c r="F84" s="22" t="s">
        <v>2969</v>
      </c>
      <c r="G84" s="22" t="s">
        <v>154</v>
      </c>
      <c r="H84" s="23" t="s">
        <v>63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2970</v>
      </c>
    </row>
    <row r="85" ht="24" customHeight="1" spans="1:17" x14ac:dyDescent="0.25">
      <c r="A85" s="21" t="s">
        <v>3154</v>
      </c>
      <c r="B85" s="22" t="s">
        <v>32</v>
      </c>
      <c r="C85" s="22" t="s">
        <v>3155</v>
      </c>
      <c r="D85" s="22" t="s">
        <v>3156</v>
      </c>
      <c r="E85" s="22" t="s">
        <v>3157</v>
      </c>
      <c r="F85" s="22" t="s">
        <v>2868</v>
      </c>
      <c r="G85" s="22" t="s">
        <v>2869</v>
      </c>
      <c r="H85" s="26" t="s">
        <v>73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2870</v>
      </c>
    </row>
    <row r="86" ht="24" customHeight="1" spans="1:17" x14ac:dyDescent="0.25">
      <c r="A86" s="21" t="s">
        <v>3158</v>
      </c>
      <c r="B86" s="22" t="s">
        <v>32</v>
      </c>
      <c r="C86" s="22" t="s">
        <v>3155</v>
      </c>
      <c r="D86" s="22" t="s">
        <v>3159</v>
      </c>
      <c r="E86" s="22" t="s">
        <v>3160</v>
      </c>
      <c r="F86" s="22" t="s">
        <v>2874</v>
      </c>
      <c r="G86" s="22" t="s">
        <v>2875</v>
      </c>
      <c r="H86" s="26" t="s">
        <v>73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2876</v>
      </c>
    </row>
    <row r="87" ht="24" customHeight="1" spans="1:17" x14ac:dyDescent="0.25">
      <c r="A87" s="21" t="s">
        <v>3161</v>
      </c>
      <c r="B87" s="22" t="s">
        <v>32</v>
      </c>
      <c r="C87" s="22" t="s">
        <v>3155</v>
      </c>
      <c r="D87" s="22" t="s">
        <v>3162</v>
      </c>
      <c r="E87" s="22" t="s">
        <v>3163</v>
      </c>
      <c r="F87" s="22" t="s">
        <v>2880</v>
      </c>
      <c r="G87" s="22" t="s">
        <v>165</v>
      </c>
      <c r="H87" s="26" t="s">
        <v>73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2881</v>
      </c>
    </row>
    <row r="88" ht="24" customHeight="1" spans="1:17" x14ac:dyDescent="0.25">
      <c r="A88" s="21" t="s">
        <v>3164</v>
      </c>
      <c r="B88" s="22" t="s">
        <v>32</v>
      </c>
      <c r="C88" s="22" t="s">
        <v>3155</v>
      </c>
      <c r="D88" s="22" t="s">
        <v>3165</v>
      </c>
      <c r="E88" s="22" t="s">
        <v>3166</v>
      </c>
      <c r="F88" s="22" t="s">
        <v>2885</v>
      </c>
      <c r="G88" s="22" t="s">
        <v>165</v>
      </c>
      <c r="H88" s="23" t="s">
        <v>63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2886</v>
      </c>
    </row>
    <row r="89" ht="24" customHeight="1" spans="1:17" x14ac:dyDescent="0.25">
      <c r="A89" s="21" t="s">
        <v>3167</v>
      </c>
      <c r="B89" s="22" t="s">
        <v>32</v>
      </c>
      <c r="C89" s="22" t="s">
        <v>3155</v>
      </c>
      <c r="D89" s="22" t="s">
        <v>3168</v>
      </c>
      <c r="E89" s="22" t="s">
        <v>3169</v>
      </c>
      <c r="F89" s="22" t="s">
        <v>2890</v>
      </c>
      <c r="G89" s="22" t="s">
        <v>2875</v>
      </c>
      <c r="H89" s="9" t="s">
        <v>101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2891</v>
      </c>
    </row>
    <row r="90" ht="24" customHeight="1" spans="1:17" x14ac:dyDescent="0.25">
      <c r="A90" s="21" t="s">
        <v>3170</v>
      </c>
      <c r="B90" s="22" t="s">
        <v>32</v>
      </c>
      <c r="C90" s="22" t="s">
        <v>3155</v>
      </c>
      <c r="D90" s="22" t="s">
        <v>3171</v>
      </c>
      <c r="E90" s="22" t="s">
        <v>3172</v>
      </c>
      <c r="F90" s="22" t="s">
        <v>2895</v>
      </c>
      <c r="G90" s="22" t="s">
        <v>2896</v>
      </c>
      <c r="H90" s="23" t="s">
        <v>63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2897</v>
      </c>
    </row>
    <row r="91" ht="24" customHeight="1" spans="1:17" x14ac:dyDescent="0.25">
      <c r="A91" s="21" t="s">
        <v>3173</v>
      </c>
      <c r="B91" s="22" t="s">
        <v>32</v>
      </c>
      <c r="C91" s="22" t="s">
        <v>3155</v>
      </c>
      <c r="D91" s="22" t="s">
        <v>3174</v>
      </c>
      <c r="E91" s="22" t="s">
        <v>3175</v>
      </c>
      <c r="F91" s="22" t="s">
        <v>2901</v>
      </c>
      <c r="G91" s="22" t="s">
        <v>2896</v>
      </c>
      <c r="H91" s="26" t="s">
        <v>73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2902</v>
      </c>
    </row>
    <row r="92" ht="24" customHeight="1" spans="1:17" x14ac:dyDescent="0.25">
      <c r="A92" s="21" t="s">
        <v>3176</v>
      </c>
      <c r="B92" s="22" t="s">
        <v>32</v>
      </c>
      <c r="C92" s="22" t="s">
        <v>3155</v>
      </c>
      <c r="D92" s="22" t="s">
        <v>3177</v>
      </c>
      <c r="E92" s="22" t="s">
        <v>3178</v>
      </c>
      <c r="F92" s="22" t="s">
        <v>2906</v>
      </c>
      <c r="G92" s="22" t="s">
        <v>2875</v>
      </c>
      <c r="H92" s="23" t="s">
        <v>63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2907</v>
      </c>
    </row>
    <row r="93" ht="24" customHeight="1" spans="1:17" x14ac:dyDescent="0.25">
      <c r="A93" s="21" t="s">
        <v>3179</v>
      </c>
      <c r="B93" s="22" t="s">
        <v>32</v>
      </c>
      <c r="C93" s="22" t="s">
        <v>3155</v>
      </c>
      <c r="D93" s="22" t="s">
        <v>3180</v>
      </c>
      <c r="E93" s="22" t="s">
        <v>3181</v>
      </c>
      <c r="F93" s="22" t="s">
        <v>2911</v>
      </c>
      <c r="G93" s="22" t="s">
        <v>2912</v>
      </c>
      <c r="H93" s="26" t="s">
        <v>73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2913</v>
      </c>
    </row>
    <row r="94" ht="24" customHeight="1" spans="1:17" x14ac:dyDescent="0.25">
      <c r="A94" s="21" t="s">
        <v>3182</v>
      </c>
      <c r="B94" s="22" t="s">
        <v>32</v>
      </c>
      <c r="C94" s="22" t="s">
        <v>3155</v>
      </c>
      <c r="D94" s="22" t="s">
        <v>3183</v>
      </c>
      <c r="E94" s="22" t="s">
        <v>3184</v>
      </c>
      <c r="F94" s="22" t="s">
        <v>2917</v>
      </c>
      <c r="G94" s="22" t="s">
        <v>448</v>
      </c>
      <c r="H94" s="23" t="s">
        <v>63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2918</v>
      </c>
    </row>
    <row r="95" ht="24" customHeight="1" spans="1:17" x14ac:dyDescent="0.25">
      <c r="A95" s="21" t="s">
        <v>3185</v>
      </c>
      <c r="B95" s="22" t="s">
        <v>32</v>
      </c>
      <c r="C95" s="22" t="s">
        <v>3155</v>
      </c>
      <c r="D95" s="22" t="s">
        <v>3186</v>
      </c>
      <c r="E95" s="22" t="s">
        <v>3187</v>
      </c>
      <c r="F95" s="22" t="s">
        <v>2922</v>
      </c>
      <c r="G95" s="22" t="s">
        <v>85</v>
      </c>
      <c r="H95" s="26" t="s">
        <v>73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2923</v>
      </c>
    </row>
    <row r="96" ht="24" customHeight="1" spans="1:17" x14ac:dyDescent="0.25">
      <c r="A96" s="21" t="s">
        <v>3188</v>
      </c>
      <c r="B96" s="22" t="s">
        <v>32</v>
      </c>
      <c r="C96" s="22" t="s">
        <v>3155</v>
      </c>
      <c r="D96" s="22" t="s">
        <v>3189</v>
      </c>
      <c r="E96" s="22" t="s">
        <v>3190</v>
      </c>
      <c r="F96" s="22" t="s">
        <v>2927</v>
      </c>
      <c r="G96" s="22" t="s">
        <v>2928</v>
      </c>
      <c r="H96" s="23" t="s">
        <v>63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2929</v>
      </c>
    </row>
    <row r="97" ht="24" customHeight="1" spans="1:17" x14ac:dyDescent="0.25">
      <c r="A97" s="21" t="s">
        <v>3191</v>
      </c>
      <c r="B97" s="22" t="s">
        <v>32</v>
      </c>
      <c r="C97" s="22" t="s">
        <v>3155</v>
      </c>
      <c r="D97" s="22" t="s">
        <v>3192</v>
      </c>
      <c r="E97" s="22" t="s">
        <v>3193</v>
      </c>
      <c r="F97" s="22" t="s">
        <v>2933</v>
      </c>
      <c r="G97" s="22" t="s">
        <v>165</v>
      </c>
      <c r="H97" s="23" t="s">
        <v>63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2934</v>
      </c>
    </row>
    <row r="98" ht="24" customHeight="1" spans="1:17" x14ac:dyDescent="0.25">
      <c r="A98" s="21" t="s">
        <v>3194</v>
      </c>
      <c r="B98" s="22" t="s">
        <v>32</v>
      </c>
      <c r="C98" s="22" t="s">
        <v>3155</v>
      </c>
      <c r="D98" s="22" t="s">
        <v>3195</v>
      </c>
      <c r="E98" s="22" t="s">
        <v>3196</v>
      </c>
      <c r="F98" s="22" t="s">
        <v>2938</v>
      </c>
      <c r="G98" s="22" t="s">
        <v>165</v>
      </c>
      <c r="H98" s="26" t="s">
        <v>73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2939</v>
      </c>
    </row>
    <row r="99" ht="24" customHeight="1" spans="1:17" x14ac:dyDescent="0.25">
      <c r="A99" s="21" t="s">
        <v>3197</v>
      </c>
      <c r="B99" s="22" t="s">
        <v>32</v>
      </c>
      <c r="C99" s="22" t="s">
        <v>3155</v>
      </c>
      <c r="D99" s="22" t="s">
        <v>3198</v>
      </c>
      <c r="E99" s="22" t="s">
        <v>3199</v>
      </c>
      <c r="F99" s="22" t="s">
        <v>2943</v>
      </c>
      <c r="G99" s="22" t="s">
        <v>79</v>
      </c>
      <c r="H99" s="23" t="s">
        <v>63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2944</v>
      </c>
    </row>
    <row r="100" ht="24" customHeight="1" spans="1:17" x14ac:dyDescent="0.25">
      <c r="A100" s="21" t="s">
        <v>3200</v>
      </c>
      <c r="B100" s="22" t="s">
        <v>32</v>
      </c>
      <c r="C100" s="22" t="s">
        <v>3155</v>
      </c>
      <c r="D100" s="22" t="s">
        <v>3201</v>
      </c>
      <c r="E100" s="22" t="s">
        <v>3202</v>
      </c>
      <c r="F100" s="22" t="s">
        <v>2948</v>
      </c>
      <c r="G100" s="22" t="s">
        <v>2896</v>
      </c>
      <c r="H100" s="23" t="s">
        <v>63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2949</v>
      </c>
    </row>
    <row r="101" ht="24" customHeight="1" spans="1:17" x14ac:dyDescent="0.25">
      <c r="A101" s="21" t="s">
        <v>3203</v>
      </c>
      <c r="B101" s="22" t="s">
        <v>32</v>
      </c>
      <c r="C101" s="22" t="s">
        <v>3155</v>
      </c>
      <c r="D101" s="22" t="s">
        <v>3204</v>
      </c>
      <c r="E101" s="22" t="s">
        <v>3205</v>
      </c>
      <c r="F101" s="22" t="s">
        <v>2953</v>
      </c>
      <c r="G101" s="22" t="s">
        <v>2954</v>
      </c>
      <c r="H101" s="26" t="s">
        <v>73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2955</v>
      </c>
    </row>
    <row r="102" ht="24" customHeight="1" spans="1:17" x14ac:dyDescent="0.25">
      <c r="A102" s="21" t="s">
        <v>3206</v>
      </c>
      <c r="B102" s="22" t="s">
        <v>32</v>
      </c>
      <c r="C102" s="22" t="s">
        <v>3155</v>
      </c>
      <c r="D102" s="22" t="s">
        <v>3207</v>
      </c>
      <c r="E102" s="22" t="s">
        <v>3208</v>
      </c>
      <c r="F102" s="22" t="s">
        <v>2959</v>
      </c>
      <c r="G102" s="22" t="s">
        <v>2896</v>
      </c>
      <c r="H102" s="9" t="s">
        <v>101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2960</v>
      </c>
    </row>
    <row r="103" ht="24" customHeight="1" spans="1:17" x14ac:dyDescent="0.25">
      <c r="A103" s="21" t="s">
        <v>3209</v>
      </c>
      <c r="B103" s="22" t="s">
        <v>32</v>
      </c>
      <c r="C103" s="22" t="s">
        <v>3155</v>
      </c>
      <c r="D103" s="22" t="s">
        <v>3210</v>
      </c>
      <c r="E103" s="22" t="s">
        <v>3211</v>
      </c>
      <c r="F103" s="22" t="s">
        <v>2964</v>
      </c>
      <c r="G103" s="22" t="s">
        <v>2896</v>
      </c>
      <c r="H103" s="23" t="s">
        <v>63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2965</v>
      </c>
    </row>
    <row r="104" ht="24" customHeight="1" spans="1:17" x14ac:dyDescent="0.25">
      <c r="A104" s="21" t="s">
        <v>3212</v>
      </c>
      <c r="B104" s="22" t="s">
        <v>32</v>
      </c>
      <c r="C104" s="22" t="s">
        <v>3155</v>
      </c>
      <c r="D104" s="22" t="s">
        <v>3213</v>
      </c>
      <c r="E104" s="22" t="s">
        <v>3214</v>
      </c>
      <c r="F104" s="22" t="s">
        <v>2969</v>
      </c>
      <c r="G104" s="22" t="s">
        <v>154</v>
      </c>
      <c r="H104" s="23" t="s">
        <v>63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2970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4" customWidth="1"/>
    <col min="5" max="5" width="56" customWidth="1"/>
    <col min="6" max="6" width="30" customWidth="1"/>
    <col min="7" max="7" width="20" customWidth="1"/>
    <col min="8" max="11" width="16" customWidth="1"/>
    <col min="12" max="12" width="18" customWidth="1"/>
    <col min="13" max="13" width="14" customWidth="1"/>
    <col min="14" max="15" width="18" customWidth="1"/>
    <col min="16" max="16" width="20" customWidth="1"/>
    <col min="17" max="17" width="40" customWidth="1"/>
  </cols>
  <sheetData>
    <row r="1" ht="24" customHeight="1" spans="1:17" x14ac:dyDescent="0.25">
      <c r="A1" s="36" t="s">
        <v>3215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ht="24" customHeight="1" spans="1:17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ht="20" customHeight="1" spans="1:17" x14ac:dyDescent="0.2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11</v>
      </c>
      <c r="P4" s="20" t="s">
        <v>55</v>
      </c>
      <c r="Q4" s="20" t="s">
        <v>56</v>
      </c>
    </row>
    <row r="5" ht="24" customHeight="1" spans="1:17" x14ac:dyDescent="0.25">
      <c r="A5" s="21" t="s">
        <v>3216</v>
      </c>
      <c r="B5" s="22" t="s">
        <v>34</v>
      </c>
      <c r="C5" s="22" t="s">
        <v>3217</v>
      </c>
      <c r="D5" s="22" t="s">
        <v>3218</v>
      </c>
      <c r="E5" s="22" t="s">
        <v>3219</v>
      </c>
      <c r="F5" s="22" t="s">
        <v>3220</v>
      </c>
      <c r="G5" s="22" t="s">
        <v>3221</v>
      </c>
      <c r="H5" s="26" t="s">
        <v>73</v>
      </c>
      <c r="I5" s="12">
        <v>0.5</v>
      </c>
      <c r="J5" s="12">
        <v>1.5</v>
      </c>
      <c r="K5" s="12">
        <v>0.5</v>
      </c>
      <c r="L5" s="9">
        <f>SUM(I5:K5)</f>
      </c>
      <c r="M5" s="9">
        <v>100</v>
      </c>
      <c r="N5" s="14" t="s">
        <v>64</v>
      </c>
      <c r="O5" s="24" t="s">
        <v>65</v>
      </c>
      <c r="P5" s="25" t="s">
        <v>66</v>
      </c>
      <c r="Q5" s="22" t="s">
        <v>3222</v>
      </c>
    </row>
    <row r="6" ht="24" customHeight="1" spans="1:17" x14ac:dyDescent="0.25">
      <c r="A6" s="21" t="s">
        <v>3223</v>
      </c>
      <c r="B6" s="22" t="s">
        <v>34</v>
      </c>
      <c r="C6" s="22" t="s">
        <v>3217</v>
      </c>
      <c r="D6" s="22" t="s">
        <v>3224</v>
      </c>
      <c r="E6" s="22" t="s">
        <v>3225</v>
      </c>
      <c r="F6" s="22" t="s">
        <v>3226</v>
      </c>
      <c r="G6" s="22" t="s">
        <v>3221</v>
      </c>
      <c r="H6" s="26" t="s">
        <v>73</v>
      </c>
      <c r="I6" s="12">
        <v>0.5</v>
      </c>
      <c r="J6" s="12">
        <v>1.5</v>
      </c>
      <c r="K6" s="12">
        <v>0.5</v>
      </c>
      <c r="L6" s="9">
        <f>SUM(I6:K6)</f>
      </c>
      <c r="M6" s="9">
        <v>100</v>
      </c>
      <c r="N6" s="14" t="s">
        <v>64</v>
      </c>
      <c r="O6" s="24" t="s">
        <v>65</v>
      </c>
      <c r="P6" s="25" t="s">
        <v>66</v>
      </c>
      <c r="Q6" s="22" t="s">
        <v>3227</v>
      </c>
    </row>
    <row r="7" ht="24" customHeight="1" spans="1:17" x14ac:dyDescent="0.25">
      <c r="A7" s="21" t="s">
        <v>3228</v>
      </c>
      <c r="B7" s="22" t="s">
        <v>34</v>
      </c>
      <c r="C7" s="22" t="s">
        <v>3217</v>
      </c>
      <c r="D7" s="22" t="s">
        <v>3229</v>
      </c>
      <c r="E7" s="22" t="s">
        <v>3230</v>
      </c>
      <c r="F7" s="22" t="s">
        <v>3231</v>
      </c>
      <c r="G7" s="22" t="s">
        <v>165</v>
      </c>
      <c r="H7" s="26" t="s">
        <v>73</v>
      </c>
      <c r="I7" s="12">
        <v>0.5</v>
      </c>
      <c r="J7" s="12">
        <v>1.5</v>
      </c>
      <c r="K7" s="12">
        <v>0.5</v>
      </c>
      <c r="L7" s="9">
        <f>SUM(I7:K7)</f>
      </c>
      <c r="M7" s="9">
        <v>100</v>
      </c>
      <c r="N7" s="14" t="s">
        <v>64</v>
      </c>
      <c r="O7" s="24" t="s">
        <v>65</v>
      </c>
      <c r="P7" s="25" t="s">
        <v>66</v>
      </c>
      <c r="Q7" s="22" t="s">
        <v>3232</v>
      </c>
    </row>
    <row r="8" ht="24" customHeight="1" spans="1:17" x14ac:dyDescent="0.25">
      <c r="A8" s="21" t="s">
        <v>3233</v>
      </c>
      <c r="B8" s="22" t="s">
        <v>34</v>
      </c>
      <c r="C8" s="22" t="s">
        <v>3217</v>
      </c>
      <c r="D8" s="22" t="s">
        <v>3234</v>
      </c>
      <c r="E8" s="22" t="s">
        <v>3235</v>
      </c>
      <c r="F8" s="22" t="s">
        <v>3236</v>
      </c>
      <c r="G8" s="22" t="s">
        <v>165</v>
      </c>
      <c r="H8" s="26" t="s">
        <v>73</v>
      </c>
      <c r="I8" s="12">
        <v>0.5</v>
      </c>
      <c r="J8" s="12">
        <v>1.5</v>
      </c>
      <c r="K8" s="12">
        <v>0.5</v>
      </c>
      <c r="L8" s="9">
        <f>SUM(I8:K8)</f>
      </c>
      <c r="M8" s="9">
        <v>100</v>
      </c>
      <c r="N8" s="14" t="s">
        <v>64</v>
      </c>
      <c r="O8" s="24" t="s">
        <v>65</v>
      </c>
      <c r="P8" s="25" t="s">
        <v>66</v>
      </c>
      <c r="Q8" s="22" t="s">
        <v>3237</v>
      </c>
    </row>
    <row r="9" ht="24" customHeight="1" spans="1:17" x14ac:dyDescent="0.25">
      <c r="A9" s="21" t="s">
        <v>3238</v>
      </c>
      <c r="B9" s="22" t="s">
        <v>34</v>
      </c>
      <c r="C9" s="22" t="s">
        <v>3217</v>
      </c>
      <c r="D9" s="22" t="s">
        <v>3239</v>
      </c>
      <c r="E9" s="22" t="s">
        <v>3240</v>
      </c>
      <c r="F9" s="22" t="s">
        <v>3241</v>
      </c>
      <c r="G9" s="22" t="s">
        <v>3242</v>
      </c>
      <c r="H9" s="26" t="s">
        <v>73</v>
      </c>
      <c r="I9" s="12">
        <v>0.5</v>
      </c>
      <c r="J9" s="12">
        <v>1.5</v>
      </c>
      <c r="K9" s="12">
        <v>0.5</v>
      </c>
      <c r="L9" s="9">
        <f>SUM(I9:K9)</f>
      </c>
      <c r="M9" s="9">
        <v>100</v>
      </c>
      <c r="N9" s="14" t="s">
        <v>64</v>
      </c>
      <c r="O9" s="24" t="s">
        <v>65</v>
      </c>
      <c r="P9" s="25" t="s">
        <v>66</v>
      </c>
      <c r="Q9" s="22" t="s">
        <v>3243</v>
      </c>
    </row>
    <row r="10" ht="24" customHeight="1" spans="1:17" x14ac:dyDescent="0.25">
      <c r="A10" s="21" t="s">
        <v>3244</v>
      </c>
      <c r="B10" s="22" t="s">
        <v>34</v>
      </c>
      <c r="C10" s="22" t="s">
        <v>3217</v>
      </c>
      <c r="D10" s="22" t="s">
        <v>3245</v>
      </c>
      <c r="E10" s="22" t="s">
        <v>3246</v>
      </c>
      <c r="F10" s="22" t="s">
        <v>3247</v>
      </c>
      <c r="G10" s="22" t="s">
        <v>3242</v>
      </c>
      <c r="H10" s="26" t="s">
        <v>73</v>
      </c>
      <c r="I10" s="12">
        <v>0.5</v>
      </c>
      <c r="J10" s="12">
        <v>1.5</v>
      </c>
      <c r="K10" s="12">
        <v>0.5</v>
      </c>
      <c r="L10" s="9">
        <f>SUM(I10:K10)</f>
      </c>
      <c r="M10" s="9">
        <v>100</v>
      </c>
      <c r="N10" s="14" t="s">
        <v>64</v>
      </c>
      <c r="O10" s="24" t="s">
        <v>65</v>
      </c>
      <c r="P10" s="25" t="s">
        <v>66</v>
      </c>
      <c r="Q10" s="22" t="s">
        <v>3248</v>
      </c>
    </row>
    <row r="11" ht="24" customHeight="1" spans="1:17" x14ac:dyDescent="0.25">
      <c r="A11" s="21" t="s">
        <v>3249</v>
      </c>
      <c r="B11" s="22" t="s">
        <v>34</v>
      </c>
      <c r="C11" s="22" t="s">
        <v>3217</v>
      </c>
      <c r="D11" s="22" t="s">
        <v>3250</v>
      </c>
      <c r="E11" s="22" t="s">
        <v>3251</v>
      </c>
      <c r="F11" s="22" t="s">
        <v>3252</v>
      </c>
      <c r="G11" s="22" t="s">
        <v>3253</v>
      </c>
      <c r="H11" s="23" t="s">
        <v>63</v>
      </c>
      <c r="I11" s="12">
        <v>0.5</v>
      </c>
      <c r="J11" s="12">
        <v>1.5</v>
      </c>
      <c r="K11" s="12">
        <v>0.5</v>
      </c>
      <c r="L11" s="9">
        <f>SUM(I11:K11)</f>
      </c>
      <c r="M11" s="9">
        <v>100</v>
      </c>
      <c r="N11" s="14" t="s">
        <v>64</v>
      </c>
      <c r="O11" s="24" t="s">
        <v>65</v>
      </c>
      <c r="P11" s="25" t="s">
        <v>66</v>
      </c>
      <c r="Q11" s="22" t="s">
        <v>3254</v>
      </c>
    </row>
    <row r="12" ht="24" customHeight="1" spans="1:17" x14ac:dyDescent="0.25">
      <c r="A12" s="21" t="s">
        <v>3255</v>
      </c>
      <c r="B12" s="22" t="s">
        <v>34</v>
      </c>
      <c r="C12" s="22" t="s">
        <v>3217</v>
      </c>
      <c r="D12" s="22" t="s">
        <v>3256</v>
      </c>
      <c r="E12" s="22" t="s">
        <v>3257</v>
      </c>
      <c r="F12" s="22" t="s">
        <v>3258</v>
      </c>
      <c r="G12" s="22" t="s">
        <v>3259</v>
      </c>
      <c r="H12" s="26" t="s">
        <v>73</v>
      </c>
      <c r="I12" s="12">
        <v>0.5</v>
      </c>
      <c r="J12" s="12">
        <v>1.5</v>
      </c>
      <c r="K12" s="12">
        <v>0.5</v>
      </c>
      <c r="L12" s="9">
        <f>SUM(I12:K12)</f>
      </c>
      <c r="M12" s="9">
        <v>100</v>
      </c>
      <c r="N12" s="14" t="s">
        <v>64</v>
      </c>
      <c r="O12" s="24" t="s">
        <v>65</v>
      </c>
      <c r="P12" s="25" t="s">
        <v>66</v>
      </c>
      <c r="Q12" s="22" t="s">
        <v>3260</v>
      </c>
    </row>
    <row r="13" ht="24" customHeight="1" spans="1:17" x14ac:dyDescent="0.25">
      <c r="A13" s="21" t="s">
        <v>3261</v>
      </c>
      <c r="B13" s="22" t="s">
        <v>34</v>
      </c>
      <c r="C13" s="22" t="s">
        <v>3217</v>
      </c>
      <c r="D13" s="22" t="s">
        <v>3262</v>
      </c>
      <c r="E13" s="22" t="s">
        <v>3263</v>
      </c>
      <c r="F13" s="22" t="s">
        <v>3264</v>
      </c>
      <c r="G13" s="22" t="s">
        <v>165</v>
      </c>
      <c r="H13" s="26" t="s">
        <v>73</v>
      </c>
      <c r="I13" s="12">
        <v>0.5</v>
      </c>
      <c r="J13" s="12">
        <v>1.5</v>
      </c>
      <c r="K13" s="12">
        <v>0.5</v>
      </c>
      <c r="L13" s="9">
        <f>SUM(I13:K13)</f>
      </c>
      <c r="M13" s="9">
        <v>100</v>
      </c>
      <c r="N13" s="14" t="s">
        <v>64</v>
      </c>
      <c r="O13" s="24" t="s">
        <v>65</v>
      </c>
      <c r="P13" s="25" t="s">
        <v>66</v>
      </c>
      <c r="Q13" s="22" t="s">
        <v>3265</v>
      </c>
    </row>
    <row r="14" ht="24" customHeight="1" spans="1:17" x14ac:dyDescent="0.25">
      <c r="A14" s="21" t="s">
        <v>3266</v>
      </c>
      <c r="B14" s="22" t="s">
        <v>34</v>
      </c>
      <c r="C14" s="22" t="s">
        <v>3217</v>
      </c>
      <c r="D14" s="22" t="s">
        <v>3267</v>
      </c>
      <c r="E14" s="22" t="s">
        <v>3268</v>
      </c>
      <c r="F14" s="22" t="s">
        <v>3269</v>
      </c>
      <c r="G14" s="22" t="s">
        <v>3270</v>
      </c>
      <c r="H14" s="26" t="s">
        <v>73</v>
      </c>
      <c r="I14" s="12">
        <v>0.5</v>
      </c>
      <c r="J14" s="12">
        <v>1.5</v>
      </c>
      <c r="K14" s="12">
        <v>0.5</v>
      </c>
      <c r="L14" s="9">
        <f>SUM(I14:K14)</f>
      </c>
      <c r="M14" s="9">
        <v>100</v>
      </c>
      <c r="N14" s="14" t="s">
        <v>64</v>
      </c>
      <c r="O14" s="24" t="s">
        <v>65</v>
      </c>
      <c r="P14" s="25" t="s">
        <v>66</v>
      </c>
      <c r="Q14" s="22" t="s">
        <v>3271</v>
      </c>
    </row>
    <row r="15" ht="24" customHeight="1" spans="1:17" x14ac:dyDescent="0.25">
      <c r="A15" s="21" t="s">
        <v>3272</v>
      </c>
      <c r="B15" s="22" t="s">
        <v>34</v>
      </c>
      <c r="C15" s="22" t="s">
        <v>3217</v>
      </c>
      <c r="D15" s="22" t="s">
        <v>3273</v>
      </c>
      <c r="E15" s="22" t="s">
        <v>3274</v>
      </c>
      <c r="F15" s="22" t="s">
        <v>3275</v>
      </c>
      <c r="G15" s="22" t="s">
        <v>3276</v>
      </c>
      <c r="H15" s="26" t="s">
        <v>73</v>
      </c>
      <c r="I15" s="12">
        <v>0.5</v>
      </c>
      <c r="J15" s="12">
        <v>1.5</v>
      </c>
      <c r="K15" s="12">
        <v>0.5</v>
      </c>
      <c r="L15" s="9">
        <f>SUM(I15:K15)</f>
      </c>
      <c r="M15" s="9">
        <v>100</v>
      </c>
      <c r="N15" s="14" t="s">
        <v>64</v>
      </c>
      <c r="O15" s="24" t="s">
        <v>65</v>
      </c>
      <c r="P15" s="25" t="s">
        <v>66</v>
      </c>
      <c r="Q15" s="22" t="s">
        <v>3277</v>
      </c>
    </row>
    <row r="16" ht="24" customHeight="1" spans="1:17" x14ac:dyDescent="0.25">
      <c r="A16" s="21" t="s">
        <v>3278</v>
      </c>
      <c r="B16" s="22" t="s">
        <v>34</v>
      </c>
      <c r="C16" s="22" t="s">
        <v>3217</v>
      </c>
      <c r="D16" s="22" t="s">
        <v>3279</v>
      </c>
      <c r="E16" s="22" t="s">
        <v>3280</v>
      </c>
      <c r="F16" s="22" t="s">
        <v>3281</v>
      </c>
      <c r="G16" s="22" t="s">
        <v>3282</v>
      </c>
      <c r="H16" s="26" t="s">
        <v>73</v>
      </c>
      <c r="I16" s="12">
        <v>0.5</v>
      </c>
      <c r="J16" s="12">
        <v>1.5</v>
      </c>
      <c r="K16" s="12">
        <v>0.5</v>
      </c>
      <c r="L16" s="9">
        <f>SUM(I16:K16)</f>
      </c>
      <c r="M16" s="9">
        <v>100</v>
      </c>
      <c r="N16" s="14" t="s">
        <v>64</v>
      </c>
      <c r="O16" s="24" t="s">
        <v>65</v>
      </c>
      <c r="P16" s="25" t="s">
        <v>66</v>
      </c>
      <c r="Q16" s="22" t="s">
        <v>3283</v>
      </c>
    </row>
    <row r="17" ht="24" customHeight="1" spans="1:17" x14ac:dyDescent="0.25">
      <c r="A17" s="21" t="s">
        <v>3284</v>
      </c>
      <c r="B17" s="22" t="s">
        <v>34</v>
      </c>
      <c r="C17" s="22" t="s">
        <v>3217</v>
      </c>
      <c r="D17" s="22" t="s">
        <v>3285</v>
      </c>
      <c r="E17" s="22" t="s">
        <v>3286</v>
      </c>
      <c r="F17" s="22" t="s">
        <v>3287</v>
      </c>
      <c r="G17" s="22" t="s">
        <v>154</v>
      </c>
      <c r="H17" s="26" t="s">
        <v>73</v>
      </c>
      <c r="I17" s="12">
        <v>0.5</v>
      </c>
      <c r="J17" s="12">
        <v>1.5</v>
      </c>
      <c r="K17" s="12">
        <v>0.5</v>
      </c>
      <c r="L17" s="9">
        <f>SUM(I17:K17)</f>
      </c>
      <c r="M17" s="9">
        <v>100</v>
      </c>
      <c r="N17" s="14" t="s">
        <v>64</v>
      </c>
      <c r="O17" s="24" t="s">
        <v>65</v>
      </c>
      <c r="P17" s="25" t="s">
        <v>66</v>
      </c>
      <c r="Q17" s="22" t="s">
        <v>3288</v>
      </c>
    </row>
    <row r="18" ht="24" customHeight="1" spans="1:17" x14ac:dyDescent="0.25">
      <c r="A18" s="21" t="s">
        <v>3289</v>
      </c>
      <c r="B18" s="22" t="s">
        <v>34</v>
      </c>
      <c r="C18" s="22" t="s">
        <v>3217</v>
      </c>
      <c r="D18" s="22" t="s">
        <v>3290</v>
      </c>
      <c r="E18" s="22" t="s">
        <v>3291</v>
      </c>
      <c r="F18" s="22" t="s">
        <v>3292</v>
      </c>
      <c r="G18" s="22" t="s">
        <v>165</v>
      </c>
      <c r="H18" s="26" t="s">
        <v>73</v>
      </c>
      <c r="I18" s="12">
        <v>0.5</v>
      </c>
      <c r="J18" s="12">
        <v>1.5</v>
      </c>
      <c r="K18" s="12">
        <v>0.5</v>
      </c>
      <c r="L18" s="9">
        <f>SUM(I18:K18)</f>
      </c>
      <c r="M18" s="9">
        <v>100</v>
      </c>
      <c r="N18" s="14" t="s">
        <v>64</v>
      </c>
      <c r="O18" s="24" t="s">
        <v>65</v>
      </c>
      <c r="P18" s="25" t="s">
        <v>66</v>
      </c>
      <c r="Q18" s="22" t="s">
        <v>3293</v>
      </c>
    </row>
    <row r="19" ht="24" customHeight="1" spans="1:17" x14ac:dyDescent="0.25">
      <c r="A19" s="21" t="s">
        <v>3294</v>
      </c>
      <c r="B19" s="22" t="s">
        <v>34</v>
      </c>
      <c r="C19" s="22" t="s">
        <v>3217</v>
      </c>
      <c r="D19" s="22" t="s">
        <v>3295</v>
      </c>
      <c r="E19" s="22" t="s">
        <v>3296</v>
      </c>
      <c r="F19" s="22" t="s">
        <v>3297</v>
      </c>
      <c r="G19" s="22" t="s">
        <v>3242</v>
      </c>
      <c r="H19" s="23" t="s">
        <v>63</v>
      </c>
      <c r="I19" s="12">
        <v>0.5</v>
      </c>
      <c r="J19" s="12">
        <v>1.5</v>
      </c>
      <c r="K19" s="12">
        <v>0.5</v>
      </c>
      <c r="L19" s="9">
        <f>SUM(I19:K19)</f>
      </c>
      <c r="M19" s="9">
        <v>100</v>
      </c>
      <c r="N19" s="14" t="s">
        <v>64</v>
      </c>
      <c r="O19" s="24" t="s">
        <v>65</v>
      </c>
      <c r="P19" s="25" t="s">
        <v>66</v>
      </c>
      <c r="Q19" s="22" t="s">
        <v>3298</v>
      </c>
    </row>
    <row r="20" ht="24" customHeight="1" spans="1:17" x14ac:dyDescent="0.25">
      <c r="A20" s="21" t="s">
        <v>3299</v>
      </c>
      <c r="B20" s="22" t="s">
        <v>34</v>
      </c>
      <c r="C20" s="22" t="s">
        <v>3217</v>
      </c>
      <c r="D20" s="22" t="s">
        <v>3300</v>
      </c>
      <c r="E20" s="22" t="s">
        <v>3301</v>
      </c>
      <c r="F20" s="22" t="s">
        <v>3302</v>
      </c>
      <c r="G20" s="22" t="s">
        <v>2522</v>
      </c>
      <c r="H20" s="23" t="s">
        <v>63</v>
      </c>
      <c r="I20" s="12">
        <v>0.5</v>
      </c>
      <c r="J20" s="12">
        <v>1.5</v>
      </c>
      <c r="K20" s="12">
        <v>0.5</v>
      </c>
      <c r="L20" s="9">
        <f>SUM(I20:K20)</f>
      </c>
      <c r="M20" s="9">
        <v>100</v>
      </c>
      <c r="N20" s="14" t="s">
        <v>64</v>
      </c>
      <c r="O20" s="24" t="s">
        <v>65</v>
      </c>
      <c r="P20" s="25" t="s">
        <v>66</v>
      </c>
      <c r="Q20" s="22" t="s">
        <v>3303</v>
      </c>
    </row>
    <row r="21" ht="24" customHeight="1" spans="1:17" x14ac:dyDescent="0.25">
      <c r="A21" s="21" t="s">
        <v>3304</v>
      </c>
      <c r="B21" s="22" t="s">
        <v>34</v>
      </c>
      <c r="C21" s="22" t="s">
        <v>3217</v>
      </c>
      <c r="D21" s="22" t="s">
        <v>3305</v>
      </c>
      <c r="E21" s="22" t="s">
        <v>3306</v>
      </c>
      <c r="F21" s="22" t="s">
        <v>3307</v>
      </c>
      <c r="G21" s="22" t="s">
        <v>1519</v>
      </c>
      <c r="H21" s="9" t="s">
        <v>101</v>
      </c>
      <c r="I21" s="12">
        <v>0.5</v>
      </c>
      <c r="J21" s="12">
        <v>1.5</v>
      </c>
      <c r="K21" s="12">
        <v>0.5</v>
      </c>
      <c r="L21" s="9">
        <f>SUM(I21:K21)</f>
      </c>
      <c r="M21" s="9">
        <v>100</v>
      </c>
      <c r="N21" s="14" t="s">
        <v>64</v>
      </c>
      <c r="O21" s="24" t="s">
        <v>65</v>
      </c>
      <c r="P21" s="25" t="s">
        <v>66</v>
      </c>
      <c r="Q21" s="22" t="s">
        <v>3308</v>
      </c>
    </row>
    <row r="22" ht="24" customHeight="1" spans="1:17" x14ac:dyDescent="0.25">
      <c r="A22" s="21" t="s">
        <v>3309</v>
      </c>
      <c r="B22" s="22" t="s">
        <v>34</v>
      </c>
      <c r="C22" s="22" t="s">
        <v>3217</v>
      </c>
      <c r="D22" s="22" t="s">
        <v>3310</v>
      </c>
      <c r="E22" s="22" t="s">
        <v>3311</v>
      </c>
      <c r="F22" s="22" t="s">
        <v>3312</v>
      </c>
      <c r="G22" s="22" t="s">
        <v>79</v>
      </c>
      <c r="H22" s="23" t="s">
        <v>63</v>
      </c>
      <c r="I22" s="12">
        <v>0.5</v>
      </c>
      <c r="J22" s="12">
        <v>1.5</v>
      </c>
      <c r="K22" s="12">
        <v>0.5</v>
      </c>
      <c r="L22" s="9">
        <f>SUM(I22:K22)</f>
      </c>
      <c r="M22" s="9">
        <v>100</v>
      </c>
      <c r="N22" s="14" t="s">
        <v>64</v>
      </c>
      <c r="O22" s="24" t="s">
        <v>65</v>
      </c>
      <c r="P22" s="25" t="s">
        <v>66</v>
      </c>
      <c r="Q22" s="22" t="s">
        <v>3313</v>
      </c>
    </row>
    <row r="23" ht="24" customHeight="1" spans="1:17" x14ac:dyDescent="0.25">
      <c r="A23" s="21" t="s">
        <v>3314</v>
      </c>
      <c r="B23" s="22" t="s">
        <v>34</v>
      </c>
      <c r="C23" s="22" t="s">
        <v>3217</v>
      </c>
      <c r="D23" s="22" t="s">
        <v>3315</v>
      </c>
      <c r="E23" s="22" t="s">
        <v>3316</v>
      </c>
      <c r="F23" s="22" t="s">
        <v>3317</v>
      </c>
      <c r="G23" s="22" t="s">
        <v>3318</v>
      </c>
      <c r="H23" s="26" t="s">
        <v>73</v>
      </c>
      <c r="I23" s="12">
        <v>0.5</v>
      </c>
      <c r="J23" s="12">
        <v>1.5</v>
      </c>
      <c r="K23" s="12">
        <v>0.5</v>
      </c>
      <c r="L23" s="9">
        <f>SUM(I23:K23)</f>
      </c>
      <c r="M23" s="9">
        <v>100</v>
      </c>
      <c r="N23" s="14" t="s">
        <v>64</v>
      </c>
      <c r="O23" s="24" t="s">
        <v>65</v>
      </c>
      <c r="P23" s="25" t="s">
        <v>66</v>
      </c>
      <c r="Q23" s="22" t="s">
        <v>3319</v>
      </c>
    </row>
    <row r="24" ht="24" customHeight="1" spans="1:17" x14ac:dyDescent="0.25">
      <c r="A24" s="21" t="s">
        <v>3320</v>
      </c>
      <c r="B24" s="22" t="s">
        <v>34</v>
      </c>
      <c r="C24" s="22" t="s">
        <v>3217</v>
      </c>
      <c r="D24" s="22" t="s">
        <v>3321</v>
      </c>
      <c r="E24" s="22" t="s">
        <v>3322</v>
      </c>
      <c r="F24" s="22" t="s">
        <v>3323</v>
      </c>
      <c r="G24" s="22" t="s">
        <v>2875</v>
      </c>
      <c r="H24" s="23" t="s">
        <v>63</v>
      </c>
      <c r="I24" s="12">
        <v>0.5</v>
      </c>
      <c r="J24" s="12">
        <v>1.5</v>
      </c>
      <c r="K24" s="12">
        <v>0.5</v>
      </c>
      <c r="L24" s="9">
        <f>SUM(I24:K24)</f>
      </c>
      <c r="M24" s="9">
        <v>100</v>
      </c>
      <c r="N24" s="14" t="s">
        <v>64</v>
      </c>
      <c r="O24" s="24" t="s">
        <v>65</v>
      </c>
      <c r="P24" s="25" t="s">
        <v>66</v>
      </c>
      <c r="Q24" s="22" t="s">
        <v>3324</v>
      </c>
    </row>
    <row r="25" ht="24" customHeight="1" spans="1:17" x14ac:dyDescent="0.25">
      <c r="A25" s="21" t="s">
        <v>3325</v>
      </c>
      <c r="B25" s="22" t="s">
        <v>34</v>
      </c>
      <c r="C25" s="22" t="s">
        <v>3326</v>
      </c>
      <c r="D25" s="22" t="s">
        <v>3327</v>
      </c>
      <c r="E25" s="22" t="s">
        <v>3328</v>
      </c>
      <c r="F25" s="22" t="s">
        <v>3220</v>
      </c>
      <c r="G25" s="22" t="s">
        <v>3221</v>
      </c>
      <c r="H25" s="26" t="s">
        <v>73</v>
      </c>
      <c r="I25" s="12">
        <v>2</v>
      </c>
      <c r="J25" s="12">
        <v>0.5</v>
      </c>
      <c r="K25" s="12">
        <v>1</v>
      </c>
      <c r="L25" s="9">
        <f>SUM(I25:K25)</f>
      </c>
      <c r="M25" s="9">
        <v>100</v>
      </c>
      <c r="N25" s="14" t="s">
        <v>64</v>
      </c>
      <c r="O25" s="24" t="s">
        <v>65</v>
      </c>
      <c r="P25" s="25" t="s">
        <v>66</v>
      </c>
      <c r="Q25" s="22" t="s">
        <v>3222</v>
      </c>
    </row>
    <row r="26" ht="24" customHeight="1" spans="1:17" x14ac:dyDescent="0.25">
      <c r="A26" s="21" t="s">
        <v>3329</v>
      </c>
      <c r="B26" s="22" t="s">
        <v>34</v>
      </c>
      <c r="C26" s="22" t="s">
        <v>3326</v>
      </c>
      <c r="D26" s="22" t="s">
        <v>3330</v>
      </c>
      <c r="E26" s="22" t="s">
        <v>3331</v>
      </c>
      <c r="F26" s="22" t="s">
        <v>3226</v>
      </c>
      <c r="G26" s="22" t="s">
        <v>3221</v>
      </c>
      <c r="H26" s="26" t="s">
        <v>73</v>
      </c>
      <c r="I26" s="12">
        <v>2</v>
      </c>
      <c r="J26" s="12">
        <v>0.5</v>
      </c>
      <c r="K26" s="12">
        <v>1</v>
      </c>
      <c r="L26" s="9">
        <f>SUM(I26:K26)</f>
      </c>
      <c r="M26" s="9">
        <v>100</v>
      </c>
      <c r="N26" s="14" t="s">
        <v>64</v>
      </c>
      <c r="O26" s="24" t="s">
        <v>65</v>
      </c>
      <c r="P26" s="25" t="s">
        <v>66</v>
      </c>
      <c r="Q26" s="22" t="s">
        <v>3227</v>
      </c>
    </row>
    <row r="27" ht="24" customHeight="1" spans="1:17" x14ac:dyDescent="0.25">
      <c r="A27" s="21" t="s">
        <v>3332</v>
      </c>
      <c r="B27" s="22" t="s">
        <v>34</v>
      </c>
      <c r="C27" s="22" t="s">
        <v>3326</v>
      </c>
      <c r="D27" s="22" t="s">
        <v>3333</v>
      </c>
      <c r="E27" s="22" t="s">
        <v>3334</v>
      </c>
      <c r="F27" s="22" t="s">
        <v>3231</v>
      </c>
      <c r="G27" s="22" t="s">
        <v>165</v>
      </c>
      <c r="H27" s="26" t="s">
        <v>73</v>
      </c>
      <c r="I27" s="12">
        <v>2</v>
      </c>
      <c r="J27" s="12">
        <v>0.5</v>
      </c>
      <c r="K27" s="12">
        <v>1</v>
      </c>
      <c r="L27" s="9">
        <f>SUM(I27:K27)</f>
      </c>
      <c r="M27" s="9">
        <v>100</v>
      </c>
      <c r="N27" s="14" t="s">
        <v>64</v>
      </c>
      <c r="O27" s="24" t="s">
        <v>65</v>
      </c>
      <c r="P27" s="25" t="s">
        <v>66</v>
      </c>
      <c r="Q27" s="22" t="s">
        <v>3232</v>
      </c>
    </row>
    <row r="28" ht="24" customHeight="1" spans="1:17" x14ac:dyDescent="0.25">
      <c r="A28" s="21" t="s">
        <v>3335</v>
      </c>
      <c r="B28" s="22" t="s">
        <v>34</v>
      </c>
      <c r="C28" s="22" t="s">
        <v>3326</v>
      </c>
      <c r="D28" s="22" t="s">
        <v>3336</v>
      </c>
      <c r="E28" s="22" t="s">
        <v>3337</v>
      </c>
      <c r="F28" s="22" t="s">
        <v>3236</v>
      </c>
      <c r="G28" s="22" t="s">
        <v>165</v>
      </c>
      <c r="H28" s="26" t="s">
        <v>73</v>
      </c>
      <c r="I28" s="12">
        <v>2</v>
      </c>
      <c r="J28" s="12">
        <v>0.5</v>
      </c>
      <c r="K28" s="12">
        <v>1</v>
      </c>
      <c r="L28" s="9">
        <f>SUM(I28:K28)</f>
      </c>
      <c r="M28" s="9">
        <v>100</v>
      </c>
      <c r="N28" s="14" t="s">
        <v>64</v>
      </c>
      <c r="O28" s="24" t="s">
        <v>65</v>
      </c>
      <c r="P28" s="25" t="s">
        <v>66</v>
      </c>
      <c r="Q28" s="22" t="s">
        <v>3237</v>
      </c>
    </row>
    <row r="29" ht="24" customHeight="1" spans="1:17" x14ac:dyDescent="0.25">
      <c r="A29" s="21" t="s">
        <v>3338</v>
      </c>
      <c r="B29" s="22" t="s">
        <v>34</v>
      </c>
      <c r="C29" s="22" t="s">
        <v>3326</v>
      </c>
      <c r="D29" s="22" t="s">
        <v>3339</v>
      </c>
      <c r="E29" s="22" t="s">
        <v>3340</v>
      </c>
      <c r="F29" s="22" t="s">
        <v>3241</v>
      </c>
      <c r="G29" s="22" t="s">
        <v>3242</v>
      </c>
      <c r="H29" s="26" t="s">
        <v>73</v>
      </c>
      <c r="I29" s="12">
        <v>2</v>
      </c>
      <c r="J29" s="12">
        <v>0.5</v>
      </c>
      <c r="K29" s="12">
        <v>1</v>
      </c>
      <c r="L29" s="9">
        <f>SUM(I29:K29)</f>
      </c>
      <c r="M29" s="9">
        <v>100</v>
      </c>
      <c r="N29" s="14" t="s">
        <v>64</v>
      </c>
      <c r="O29" s="24" t="s">
        <v>65</v>
      </c>
      <c r="P29" s="25" t="s">
        <v>66</v>
      </c>
      <c r="Q29" s="22" t="s">
        <v>3243</v>
      </c>
    </row>
    <row r="30" ht="24" customHeight="1" spans="1:17" x14ac:dyDescent="0.25">
      <c r="A30" s="21" t="s">
        <v>3341</v>
      </c>
      <c r="B30" s="22" t="s">
        <v>34</v>
      </c>
      <c r="C30" s="22" t="s">
        <v>3326</v>
      </c>
      <c r="D30" s="22" t="s">
        <v>3342</v>
      </c>
      <c r="E30" s="22" t="s">
        <v>3343</v>
      </c>
      <c r="F30" s="22" t="s">
        <v>3247</v>
      </c>
      <c r="G30" s="22" t="s">
        <v>3242</v>
      </c>
      <c r="H30" s="26" t="s">
        <v>73</v>
      </c>
      <c r="I30" s="12">
        <v>2</v>
      </c>
      <c r="J30" s="12">
        <v>0.5</v>
      </c>
      <c r="K30" s="12">
        <v>1</v>
      </c>
      <c r="L30" s="9">
        <f>SUM(I30:K30)</f>
      </c>
      <c r="M30" s="9">
        <v>100</v>
      </c>
      <c r="N30" s="14" t="s">
        <v>64</v>
      </c>
      <c r="O30" s="24" t="s">
        <v>65</v>
      </c>
      <c r="P30" s="25" t="s">
        <v>66</v>
      </c>
      <c r="Q30" s="22" t="s">
        <v>3248</v>
      </c>
    </row>
    <row r="31" ht="24" customHeight="1" spans="1:17" x14ac:dyDescent="0.25">
      <c r="A31" s="21" t="s">
        <v>3344</v>
      </c>
      <c r="B31" s="22" t="s">
        <v>34</v>
      </c>
      <c r="C31" s="22" t="s">
        <v>3326</v>
      </c>
      <c r="D31" s="22" t="s">
        <v>3345</v>
      </c>
      <c r="E31" s="22" t="s">
        <v>3346</v>
      </c>
      <c r="F31" s="22" t="s">
        <v>3252</v>
      </c>
      <c r="G31" s="22" t="s">
        <v>3253</v>
      </c>
      <c r="H31" s="23" t="s">
        <v>63</v>
      </c>
      <c r="I31" s="12">
        <v>2</v>
      </c>
      <c r="J31" s="12">
        <v>0.5</v>
      </c>
      <c r="K31" s="12">
        <v>1</v>
      </c>
      <c r="L31" s="9">
        <f>SUM(I31:K31)</f>
      </c>
      <c r="M31" s="9">
        <v>100</v>
      </c>
      <c r="N31" s="14" t="s">
        <v>64</v>
      </c>
      <c r="O31" s="24" t="s">
        <v>65</v>
      </c>
      <c r="P31" s="25" t="s">
        <v>66</v>
      </c>
      <c r="Q31" s="22" t="s">
        <v>3254</v>
      </c>
    </row>
    <row r="32" ht="24" customHeight="1" spans="1:17" x14ac:dyDescent="0.25">
      <c r="A32" s="21" t="s">
        <v>3347</v>
      </c>
      <c r="B32" s="22" t="s">
        <v>34</v>
      </c>
      <c r="C32" s="22" t="s">
        <v>3326</v>
      </c>
      <c r="D32" s="22" t="s">
        <v>3348</v>
      </c>
      <c r="E32" s="22" t="s">
        <v>3349</v>
      </c>
      <c r="F32" s="22" t="s">
        <v>3258</v>
      </c>
      <c r="G32" s="22" t="s">
        <v>3259</v>
      </c>
      <c r="H32" s="26" t="s">
        <v>73</v>
      </c>
      <c r="I32" s="12">
        <v>2</v>
      </c>
      <c r="J32" s="12">
        <v>0.5</v>
      </c>
      <c r="K32" s="12">
        <v>1</v>
      </c>
      <c r="L32" s="9">
        <f>SUM(I32:K32)</f>
      </c>
      <c r="M32" s="9">
        <v>100</v>
      </c>
      <c r="N32" s="14" t="s">
        <v>64</v>
      </c>
      <c r="O32" s="24" t="s">
        <v>65</v>
      </c>
      <c r="P32" s="25" t="s">
        <v>66</v>
      </c>
      <c r="Q32" s="22" t="s">
        <v>3260</v>
      </c>
    </row>
    <row r="33" ht="24" customHeight="1" spans="1:17" x14ac:dyDescent="0.25">
      <c r="A33" s="21" t="s">
        <v>3350</v>
      </c>
      <c r="B33" s="22" t="s">
        <v>34</v>
      </c>
      <c r="C33" s="22" t="s">
        <v>3326</v>
      </c>
      <c r="D33" s="22" t="s">
        <v>3351</v>
      </c>
      <c r="E33" s="22" t="s">
        <v>3352</v>
      </c>
      <c r="F33" s="22" t="s">
        <v>3264</v>
      </c>
      <c r="G33" s="22" t="s">
        <v>165</v>
      </c>
      <c r="H33" s="26" t="s">
        <v>73</v>
      </c>
      <c r="I33" s="12">
        <v>2</v>
      </c>
      <c r="J33" s="12">
        <v>0.5</v>
      </c>
      <c r="K33" s="12">
        <v>1</v>
      </c>
      <c r="L33" s="9">
        <f>SUM(I33:K33)</f>
      </c>
      <c r="M33" s="9">
        <v>100</v>
      </c>
      <c r="N33" s="14" t="s">
        <v>64</v>
      </c>
      <c r="O33" s="24" t="s">
        <v>65</v>
      </c>
      <c r="P33" s="25" t="s">
        <v>66</v>
      </c>
      <c r="Q33" s="22" t="s">
        <v>3265</v>
      </c>
    </row>
    <row r="34" ht="24" customHeight="1" spans="1:17" x14ac:dyDescent="0.25">
      <c r="A34" s="21" t="s">
        <v>3353</v>
      </c>
      <c r="B34" s="22" t="s">
        <v>34</v>
      </c>
      <c r="C34" s="22" t="s">
        <v>3326</v>
      </c>
      <c r="D34" s="22" t="s">
        <v>3354</v>
      </c>
      <c r="E34" s="22" t="s">
        <v>3355</v>
      </c>
      <c r="F34" s="22" t="s">
        <v>3269</v>
      </c>
      <c r="G34" s="22" t="s">
        <v>3270</v>
      </c>
      <c r="H34" s="26" t="s">
        <v>73</v>
      </c>
      <c r="I34" s="12">
        <v>2</v>
      </c>
      <c r="J34" s="12">
        <v>0.5</v>
      </c>
      <c r="K34" s="12">
        <v>1</v>
      </c>
      <c r="L34" s="9">
        <f>SUM(I34:K34)</f>
      </c>
      <c r="M34" s="9">
        <v>100</v>
      </c>
      <c r="N34" s="14" t="s">
        <v>64</v>
      </c>
      <c r="O34" s="24" t="s">
        <v>65</v>
      </c>
      <c r="P34" s="25" t="s">
        <v>66</v>
      </c>
      <c r="Q34" s="22" t="s">
        <v>3271</v>
      </c>
    </row>
    <row r="35" ht="24" customHeight="1" spans="1:17" x14ac:dyDescent="0.25">
      <c r="A35" s="21" t="s">
        <v>3356</v>
      </c>
      <c r="B35" s="22" t="s">
        <v>34</v>
      </c>
      <c r="C35" s="22" t="s">
        <v>3326</v>
      </c>
      <c r="D35" s="22" t="s">
        <v>3357</v>
      </c>
      <c r="E35" s="22" t="s">
        <v>3358</v>
      </c>
      <c r="F35" s="22" t="s">
        <v>3275</v>
      </c>
      <c r="G35" s="22" t="s">
        <v>3276</v>
      </c>
      <c r="H35" s="26" t="s">
        <v>73</v>
      </c>
      <c r="I35" s="12">
        <v>2</v>
      </c>
      <c r="J35" s="12">
        <v>0.5</v>
      </c>
      <c r="K35" s="12">
        <v>1</v>
      </c>
      <c r="L35" s="9">
        <f>SUM(I35:K35)</f>
      </c>
      <c r="M35" s="9">
        <v>100</v>
      </c>
      <c r="N35" s="14" t="s">
        <v>64</v>
      </c>
      <c r="O35" s="24" t="s">
        <v>65</v>
      </c>
      <c r="P35" s="25" t="s">
        <v>66</v>
      </c>
      <c r="Q35" s="22" t="s">
        <v>3277</v>
      </c>
    </row>
    <row r="36" ht="24" customHeight="1" spans="1:17" x14ac:dyDescent="0.25">
      <c r="A36" s="21" t="s">
        <v>3359</v>
      </c>
      <c r="B36" s="22" t="s">
        <v>34</v>
      </c>
      <c r="C36" s="22" t="s">
        <v>3326</v>
      </c>
      <c r="D36" s="22" t="s">
        <v>3360</v>
      </c>
      <c r="E36" s="22" t="s">
        <v>3361</v>
      </c>
      <c r="F36" s="22" t="s">
        <v>3281</v>
      </c>
      <c r="G36" s="22" t="s">
        <v>3282</v>
      </c>
      <c r="H36" s="26" t="s">
        <v>73</v>
      </c>
      <c r="I36" s="12">
        <v>2</v>
      </c>
      <c r="J36" s="12">
        <v>0.5</v>
      </c>
      <c r="K36" s="12">
        <v>1</v>
      </c>
      <c r="L36" s="9">
        <f>SUM(I36:K36)</f>
      </c>
      <c r="M36" s="9">
        <v>100</v>
      </c>
      <c r="N36" s="14" t="s">
        <v>64</v>
      </c>
      <c r="O36" s="24" t="s">
        <v>65</v>
      </c>
      <c r="P36" s="25" t="s">
        <v>66</v>
      </c>
      <c r="Q36" s="22" t="s">
        <v>3283</v>
      </c>
    </row>
    <row r="37" ht="24" customHeight="1" spans="1:17" x14ac:dyDescent="0.25">
      <c r="A37" s="21" t="s">
        <v>3362</v>
      </c>
      <c r="B37" s="22" t="s">
        <v>34</v>
      </c>
      <c r="C37" s="22" t="s">
        <v>3326</v>
      </c>
      <c r="D37" s="22" t="s">
        <v>3363</v>
      </c>
      <c r="E37" s="22" t="s">
        <v>3364</v>
      </c>
      <c r="F37" s="22" t="s">
        <v>3287</v>
      </c>
      <c r="G37" s="22" t="s">
        <v>154</v>
      </c>
      <c r="H37" s="26" t="s">
        <v>73</v>
      </c>
      <c r="I37" s="12">
        <v>2</v>
      </c>
      <c r="J37" s="12">
        <v>0.5</v>
      </c>
      <c r="K37" s="12">
        <v>1</v>
      </c>
      <c r="L37" s="9">
        <f>SUM(I37:K37)</f>
      </c>
      <c r="M37" s="9">
        <v>100</v>
      </c>
      <c r="N37" s="14" t="s">
        <v>64</v>
      </c>
      <c r="O37" s="24" t="s">
        <v>65</v>
      </c>
      <c r="P37" s="25" t="s">
        <v>66</v>
      </c>
      <c r="Q37" s="22" t="s">
        <v>3288</v>
      </c>
    </row>
    <row r="38" ht="24" customHeight="1" spans="1:17" x14ac:dyDescent="0.25">
      <c r="A38" s="21" t="s">
        <v>3365</v>
      </c>
      <c r="B38" s="22" t="s">
        <v>34</v>
      </c>
      <c r="C38" s="22" t="s">
        <v>3326</v>
      </c>
      <c r="D38" s="22" t="s">
        <v>3366</v>
      </c>
      <c r="E38" s="22" t="s">
        <v>3367</v>
      </c>
      <c r="F38" s="22" t="s">
        <v>3292</v>
      </c>
      <c r="G38" s="22" t="s">
        <v>165</v>
      </c>
      <c r="H38" s="26" t="s">
        <v>73</v>
      </c>
      <c r="I38" s="12">
        <v>2</v>
      </c>
      <c r="J38" s="12">
        <v>0.5</v>
      </c>
      <c r="K38" s="12">
        <v>1</v>
      </c>
      <c r="L38" s="9">
        <f>SUM(I38:K38)</f>
      </c>
      <c r="M38" s="9">
        <v>100</v>
      </c>
      <c r="N38" s="14" t="s">
        <v>64</v>
      </c>
      <c r="O38" s="24" t="s">
        <v>65</v>
      </c>
      <c r="P38" s="25" t="s">
        <v>66</v>
      </c>
      <c r="Q38" s="22" t="s">
        <v>3293</v>
      </c>
    </row>
    <row r="39" ht="24" customHeight="1" spans="1:17" x14ac:dyDescent="0.25">
      <c r="A39" s="21" t="s">
        <v>3368</v>
      </c>
      <c r="B39" s="22" t="s">
        <v>34</v>
      </c>
      <c r="C39" s="22" t="s">
        <v>3326</v>
      </c>
      <c r="D39" s="22" t="s">
        <v>3369</v>
      </c>
      <c r="E39" s="22" t="s">
        <v>3370</v>
      </c>
      <c r="F39" s="22" t="s">
        <v>3297</v>
      </c>
      <c r="G39" s="22" t="s">
        <v>3242</v>
      </c>
      <c r="H39" s="23" t="s">
        <v>63</v>
      </c>
      <c r="I39" s="12">
        <v>2</v>
      </c>
      <c r="J39" s="12">
        <v>0.5</v>
      </c>
      <c r="K39" s="12">
        <v>1</v>
      </c>
      <c r="L39" s="9">
        <f>SUM(I39:K39)</f>
      </c>
      <c r="M39" s="9">
        <v>100</v>
      </c>
      <c r="N39" s="14" t="s">
        <v>64</v>
      </c>
      <c r="O39" s="24" t="s">
        <v>65</v>
      </c>
      <c r="P39" s="25" t="s">
        <v>66</v>
      </c>
      <c r="Q39" s="22" t="s">
        <v>3298</v>
      </c>
    </row>
    <row r="40" ht="24" customHeight="1" spans="1:17" x14ac:dyDescent="0.25">
      <c r="A40" s="21" t="s">
        <v>3371</v>
      </c>
      <c r="B40" s="22" t="s">
        <v>34</v>
      </c>
      <c r="C40" s="22" t="s">
        <v>3326</v>
      </c>
      <c r="D40" s="22" t="s">
        <v>3372</v>
      </c>
      <c r="E40" s="22" t="s">
        <v>3373</v>
      </c>
      <c r="F40" s="22" t="s">
        <v>3302</v>
      </c>
      <c r="G40" s="22" t="s">
        <v>2522</v>
      </c>
      <c r="H40" s="23" t="s">
        <v>63</v>
      </c>
      <c r="I40" s="12">
        <v>2</v>
      </c>
      <c r="J40" s="12">
        <v>0.5</v>
      </c>
      <c r="K40" s="12">
        <v>1</v>
      </c>
      <c r="L40" s="9">
        <f>SUM(I40:K40)</f>
      </c>
      <c r="M40" s="9">
        <v>100</v>
      </c>
      <c r="N40" s="14" t="s">
        <v>64</v>
      </c>
      <c r="O40" s="24" t="s">
        <v>65</v>
      </c>
      <c r="P40" s="25" t="s">
        <v>66</v>
      </c>
      <c r="Q40" s="22" t="s">
        <v>3303</v>
      </c>
    </row>
    <row r="41" ht="24" customHeight="1" spans="1:17" x14ac:dyDescent="0.25">
      <c r="A41" s="21" t="s">
        <v>3374</v>
      </c>
      <c r="B41" s="22" t="s">
        <v>34</v>
      </c>
      <c r="C41" s="22" t="s">
        <v>3326</v>
      </c>
      <c r="D41" s="22" t="s">
        <v>3375</v>
      </c>
      <c r="E41" s="22" t="s">
        <v>3376</v>
      </c>
      <c r="F41" s="22" t="s">
        <v>3307</v>
      </c>
      <c r="G41" s="22" t="s">
        <v>1519</v>
      </c>
      <c r="H41" s="9" t="s">
        <v>101</v>
      </c>
      <c r="I41" s="12">
        <v>2</v>
      </c>
      <c r="J41" s="12">
        <v>0.5</v>
      </c>
      <c r="K41" s="12">
        <v>1</v>
      </c>
      <c r="L41" s="9">
        <f>SUM(I41:K41)</f>
      </c>
      <c r="M41" s="9">
        <v>100</v>
      </c>
      <c r="N41" s="14" t="s">
        <v>64</v>
      </c>
      <c r="O41" s="24" t="s">
        <v>65</v>
      </c>
      <c r="P41" s="25" t="s">
        <v>66</v>
      </c>
      <c r="Q41" s="22" t="s">
        <v>3308</v>
      </c>
    </row>
    <row r="42" ht="24" customHeight="1" spans="1:17" x14ac:dyDescent="0.25">
      <c r="A42" s="21" t="s">
        <v>3377</v>
      </c>
      <c r="B42" s="22" t="s">
        <v>34</v>
      </c>
      <c r="C42" s="22" t="s">
        <v>3326</v>
      </c>
      <c r="D42" s="22" t="s">
        <v>3378</v>
      </c>
      <c r="E42" s="22" t="s">
        <v>3379</v>
      </c>
      <c r="F42" s="22" t="s">
        <v>3312</v>
      </c>
      <c r="G42" s="22" t="s">
        <v>79</v>
      </c>
      <c r="H42" s="23" t="s">
        <v>63</v>
      </c>
      <c r="I42" s="12">
        <v>2</v>
      </c>
      <c r="J42" s="12">
        <v>0.5</v>
      </c>
      <c r="K42" s="12">
        <v>1</v>
      </c>
      <c r="L42" s="9">
        <f>SUM(I42:K42)</f>
      </c>
      <c r="M42" s="9">
        <v>100</v>
      </c>
      <c r="N42" s="14" t="s">
        <v>64</v>
      </c>
      <c r="O42" s="24" t="s">
        <v>65</v>
      </c>
      <c r="P42" s="25" t="s">
        <v>66</v>
      </c>
      <c r="Q42" s="22" t="s">
        <v>3313</v>
      </c>
    </row>
    <row r="43" ht="24" customHeight="1" spans="1:17" x14ac:dyDescent="0.25">
      <c r="A43" s="21" t="s">
        <v>3380</v>
      </c>
      <c r="B43" s="22" t="s">
        <v>34</v>
      </c>
      <c r="C43" s="22" t="s">
        <v>3326</v>
      </c>
      <c r="D43" s="22" t="s">
        <v>3381</v>
      </c>
      <c r="E43" s="22" t="s">
        <v>3382</v>
      </c>
      <c r="F43" s="22" t="s">
        <v>3317</v>
      </c>
      <c r="G43" s="22" t="s">
        <v>3318</v>
      </c>
      <c r="H43" s="26" t="s">
        <v>73</v>
      </c>
      <c r="I43" s="12">
        <v>2</v>
      </c>
      <c r="J43" s="12">
        <v>0.5</v>
      </c>
      <c r="K43" s="12">
        <v>1</v>
      </c>
      <c r="L43" s="9">
        <f>SUM(I43:K43)</f>
      </c>
      <c r="M43" s="9">
        <v>100</v>
      </c>
      <c r="N43" s="14" t="s">
        <v>64</v>
      </c>
      <c r="O43" s="24" t="s">
        <v>65</v>
      </c>
      <c r="P43" s="25" t="s">
        <v>66</v>
      </c>
      <c r="Q43" s="22" t="s">
        <v>3319</v>
      </c>
    </row>
    <row r="44" ht="24" customHeight="1" spans="1:17" x14ac:dyDescent="0.25">
      <c r="A44" s="21" t="s">
        <v>3383</v>
      </c>
      <c r="B44" s="22" t="s">
        <v>34</v>
      </c>
      <c r="C44" s="22" t="s">
        <v>3326</v>
      </c>
      <c r="D44" s="22" t="s">
        <v>3384</v>
      </c>
      <c r="E44" s="22" t="s">
        <v>3385</v>
      </c>
      <c r="F44" s="22" t="s">
        <v>3323</v>
      </c>
      <c r="G44" s="22" t="s">
        <v>2875</v>
      </c>
      <c r="H44" s="23" t="s">
        <v>63</v>
      </c>
      <c r="I44" s="12">
        <v>2</v>
      </c>
      <c r="J44" s="12">
        <v>0.5</v>
      </c>
      <c r="K44" s="12">
        <v>1</v>
      </c>
      <c r="L44" s="9">
        <f>SUM(I44:K44)</f>
      </c>
      <c r="M44" s="9">
        <v>100</v>
      </c>
      <c r="N44" s="14" t="s">
        <v>64</v>
      </c>
      <c r="O44" s="24" t="s">
        <v>65</v>
      </c>
      <c r="P44" s="25" t="s">
        <v>66</v>
      </c>
      <c r="Q44" s="22" t="s">
        <v>3324</v>
      </c>
    </row>
    <row r="45" ht="24" customHeight="1" spans="1:17" x14ac:dyDescent="0.25">
      <c r="A45" s="21" t="s">
        <v>3386</v>
      </c>
      <c r="B45" s="22" t="s">
        <v>34</v>
      </c>
      <c r="C45" s="22" t="s">
        <v>3387</v>
      </c>
      <c r="D45" s="22" t="s">
        <v>3388</v>
      </c>
      <c r="E45" s="22" t="s">
        <v>3389</v>
      </c>
      <c r="F45" s="22" t="s">
        <v>3220</v>
      </c>
      <c r="G45" s="22" t="s">
        <v>3221</v>
      </c>
      <c r="H45" s="26" t="s">
        <v>73</v>
      </c>
      <c r="I45" s="12">
        <v>0.5</v>
      </c>
      <c r="J45" s="12">
        <v>2.5</v>
      </c>
      <c r="K45" s="12">
        <v>1</v>
      </c>
      <c r="L45" s="9">
        <f>SUM(I45:K45)</f>
      </c>
      <c r="M45" s="9">
        <v>100</v>
      </c>
      <c r="N45" s="14" t="s">
        <v>64</v>
      </c>
      <c r="O45" s="24" t="s">
        <v>65</v>
      </c>
      <c r="P45" s="25" t="s">
        <v>66</v>
      </c>
      <c r="Q45" s="22" t="s">
        <v>3222</v>
      </c>
    </row>
    <row r="46" ht="24" customHeight="1" spans="1:17" x14ac:dyDescent="0.25">
      <c r="A46" s="21" t="s">
        <v>3390</v>
      </c>
      <c r="B46" s="22" t="s">
        <v>34</v>
      </c>
      <c r="C46" s="22" t="s">
        <v>3387</v>
      </c>
      <c r="D46" s="22" t="s">
        <v>3391</v>
      </c>
      <c r="E46" s="22" t="s">
        <v>3392</v>
      </c>
      <c r="F46" s="22" t="s">
        <v>3226</v>
      </c>
      <c r="G46" s="22" t="s">
        <v>3221</v>
      </c>
      <c r="H46" s="26" t="s">
        <v>73</v>
      </c>
      <c r="I46" s="12">
        <v>0.5</v>
      </c>
      <c r="J46" s="12">
        <v>2.5</v>
      </c>
      <c r="K46" s="12">
        <v>1</v>
      </c>
      <c r="L46" s="9">
        <f>SUM(I46:K46)</f>
      </c>
      <c r="M46" s="9">
        <v>100</v>
      </c>
      <c r="N46" s="14" t="s">
        <v>64</v>
      </c>
      <c r="O46" s="24" t="s">
        <v>65</v>
      </c>
      <c r="P46" s="25" t="s">
        <v>66</v>
      </c>
      <c r="Q46" s="22" t="s">
        <v>3227</v>
      </c>
    </row>
    <row r="47" ht="24" customHeight="1" spans="1:17" x14ac:dyDescent="0.25">
      <c r="A47" s="21" t="s">
        <v>3393</v>
      </c>
      <c r="B47" s="22" t="s">
        <v>34</v>
      </c>
      <c r="C47" s="22" t="s">
        <v>3387</v>
      </c>
      <c r="D47" s="22" t="s">
        <v>3394</v>
      </c>
      <c r="E47" s="22" t="s">
        <v>3395</v>
      </c>
      <c r="F47" s="22" t="s">
        <v>3231</v>
      </c>
      <c r="G47" s="22" t="s">
        <v>165</v>
      </c>
      <c r="H47" s="26" t="s">
        <v>73</v>
      </c>
      <c r="I47" s="12">
        <v>0.5</v>
      </c>
      <c r="J47" s="12">
        <v>2.5</v>
      </c>
      <c r="K47" s="12">
        <v>1</v>
      </c>
      <c r="L47" s="9">
        <f>SUM(I47:K47)</f>
      </c>
      <c r="M47" s="9">
        <v>100</v>
      </c>
      <c r="N47" s="14" t="s">
        <v>64</v>
      </c>
      <c r="O47" s="24" t="s">
        <v>65</v>
      </c>
      <c r="P47" s="25" t="s">
        <v>66</v>
      </c>
      <c r="Q47" s="22" t="s">
        <v>3232</v>
      </c>
    </row>
    <row r="48" ht="24" customHeight="1" spans="1:17" x14ac:dyDescent="0.25">
      <c r="A48" s="21" t="s">
        <v>3396</v>
      </c>
      <c r="B48" s="22" t="s">
        <v>34</v>
      </c>
      <c r="C48" s="22" t="s">
        <v>3387</v>
      </c>
      <c r="D48" s="22" t="s">
        <v>3397</v>
      </c>
      <c r="E48" s="22" t="s">
        <v>3398</v>
      </c>
      <c r="F48" s="22" t="s">
        <v>3236</v>
      </c>
      <c r="G48" s="22" t="s">
        <v>165</v>
      </c>
      <c r="H48" s="26" t="s">
        <v>73</v>
      </c>
      <c r="I48" s="12">
        <v>0.5</v>
      </c>
      <c r="J48" s="12">
        <v>2.5</v>
      </c>
      <c r="K48" s="12">
        <v>1</v>
      </c>
      <c r="L48" s="9">
        <f>SUM(I48:K48)</f>
      </c>
      <c r="M48" s="9">
        <v>100</v>
      </c>
      <c r="N48" s="14" t="s">
        <v>64</v>
      </c>
      <c r="O48" s="24" t="s">
        <v>65</v>
      </c>
      <c r="P48" s="25" t="s">
        <v>66</v>
      </c>
      <c r="Q48" s="22" t="s">
        <v>3237</v>
      </c>
    </row>
    <row r="49" ht="24" customHeight="1" spans="1:17" x14ac:dyDescent="0.25">
      <c r="A49" s="21" t="s">
        <v>3399</v>
      </c>
      <c r="B49" s="22" t="s">
        <v>34</v>
      </c>
      <c r="C49" s="22" t="s">
        <v>3387</v>
      </c>
      <c r="D49" s="22" t="s">
        <v>3400</v>
      </c>
      <c r="E49" s="22" t="s">
        <v>3401</v>
      </c>
      <c r="F49" s="22" t="s">
        <v>3241</v>
      </c>
      <c r="G49" s="22" t="s">
        <v>3242</v>
      </c>
      <c r="H49" s="26" t="s">
        <v>73</v>
      </c>
      <c r="I49" s="12">
        <v>0.5</v>
      </c>
      <c r="J49" s="12">
        <v>2.5</v>
      </c>
      <c r="K49" s="12">
        <v>1</v>
      </c>
      <c r="L49" s="9">
        <f>SUM(I49:K49)</f>
      </c>
      <c r="M49" s="9">
        <v>100</v>
      </c>
      <c r="N49" s="14" t="s">
        <v>64</v>
      </c>
      <c r="O49" s="24" t="s">
        <v>65</v>
      </c>
      <c r="P49" s="25" t="s">
        <v>66</v>
      </c>
      <c r="Q49" s="22" t="s">
        <v>3243</v>
      </c>
    </row>
    <row r="50" ht="24" customHeight="1" spans="1:17" x14ac:dyDescent="0.25">
      <c r="A50" s="21" t="s">
        <v>3402</v>
      </c>
      <c r="B50" s="22" t="s">
        <v>34</v>
      </c>
      <c r="C50" s="22" t="s">
        <v>3387</v>
      </c>
      <c r="D50" s="22" t="s">
        <v>3403</v>
      </c>
      <c r="E50" s="22" t="s">
        <v>3404</v>
      </c>
      <c r="F50" s="22" t="s">
        <v>3247</v>
      </c>
      <c r="G50" s="22" t="s">
        <v>3242</v>
      </c>
      <c r="H50" s="26" t="s">
        <v>73</v>
      </c>
      <c r="I50" s="12">
        <v>0.5</v>
      </c>
      <c r="J50" s="12">
        <v>2.5</v>
      </c>
      <c r="K50" s="12">
        <v>1</v>
      </c>
      <c r="L50" s="9">
        <f>SUM(I50:K50)</f>
      </c>
      <c r="M50" s="9">
        <v>100</v>
      </c>
      <c r="N50" s="14" t="s">
        <v>64</v>
      </c>
      <c r="O50" s="24" t="s">
        <v>65</v>
      </c>
      <c r="P50" s="25" t="s">
        <v>66</v>
      </c>
      <c r="Q50" s="22" t="s">
        <v>3248</v>
      </c>
    </row>
    <row r="51" ht="24" customHeight="1" spans="1:17" x14ac:dyDescent="0.25">
      <c r="A51" s="21" t="s">
        <v>3405</v>
      </c>
      <c r="B51" s="22" t="s">
        <v>34</v>
      </c>
      <c r="C51" s="22" t="s">
        <v>3387</v>
      </c>
      <c r="D51" s="22" t="s">
        <v>3406</v>
      </c>
      <c r="E51" s="22" t="s">
        <v>3407</v>
      </c>
      <c r="F51" s="22" t="s">
        <v>3252</v>
      </c>
      <c r="G51" s="22" t="s">
        <v>3253</v>
      </c>
      <c r="H51" s="23" t="s">
        <v>63</v>
      </c>
      <c r="I51" s="12">
        <v>0.5</v>
      </c>
      <c r="J51" s="12">
        <v>2.5</v>
      </c>
      <c r="K51" s="12">
        <v>1</v>
      </c>
      <c r="L51" s="9">
        <f>SUM(I51:K51)</f>
      </c>
      <c r="M51" s="9">
        <v>100</v>
      </c>
      <c r="N51" s="14" t="s">
        <v>64</v>
      </c>
      <c r="O51" s="24" t="s">
        <v>65</v>
      </c>
      <c r="P51" s="25" t="s">
        <v>66</v>
      </c>
      <c r="Q51" s="22" t="s">
        <v>3254</v>
      </c>
    </row>
    <row r="52" ht="24" customHeight="1" spans="1:17" x14ac:dyDescent="0.25">
      <c r="A52" s="21" t="s">
        <v>3408</v>
      </c>
      <c r="B52" s="22" t="s">
        <v>34</v>
      </c>
      <c r="C52" s="22" t="s">
        <v>3387</v>
      </c>
      <c r="D52" s="22" t="s">
        <v>3409</v>
      </c>
      <c r="E52" s="22" t="s">
        <v>3410</v>
      </c>
      <c r="F52" s="22" t="s">
        <v>3258</v>
      </c>
      <c r="G52" s="22" t="s">
        <v>3259</v>
      </c>
      <c r="H52" s="26" t="s">
        <v>73</v>
      </c>
      <c r="I52" s="12">
        <v>0.5</v>
      </c>
      <c r="J52" s="12">
        <v>2.5</v>
      </c>
      <c r="K52" s="12">
        <v>1</v>
      </c>
      <c r="L52" s="9">
        <f>SUM(I52:K52)</f>
      </c>
      <c r="M52" s="9">
        <v>100</v>
      </c>
      <c r="N52" s="14" t="s">
        <v>64</v>
      </c>
      <c r="O52" s="24" t="s">
        <v>65</v>
      </c>
      <c r="P52" s="25" t="s">
        <v>66</v>
      </c>
      <c r="Q52" s="22" t="s">
        <v>3260</v>
      </c>
    </row>
    <row r="53" ht="24" customHeight="1" spans="1:17" x14ac:dyDescent="0.25">
      <c r="A53" s="21" t="s">
        <v>3411</v>
      </c>
      <c r="B53" s="22" t="s">
        <v>34</v>
      </c>
      <c r="C53" s="22" t="s">
        <v>3387</v>
      </c>
      <c r="D53" s="22" t="s">
        <v>3412</v>
      </c>
      <c r="E53" s="22" t="s">
        <v>3413</v>
      </c>
      <c r="F53" s="22" t="s">
        <v>3264</v>
      </c>
      <c r="G53" s="22" t="s">
        <v>165</v>
      </c>
      <c r="H53" s="26" t="s">
        <v>73</v>
      </c>
      <c r="I53" s="12">
        <v>0.5</v>
      </c>
      <c r="J53" s="12">
        <v>2.5</v>
      </c>
      <c r="K53" s="12">
        <v>1</v>
      </c>
      <c r="L53" s="9">
        <f>SUM(I53:K53)</f>
      </c>
      <c r="M53" s="9">
        <v>100</v>
      </c>
      <c r="N53" s="14" t="s">
        <v>64</v>
      </c>
      <c r="O53" s="24" t="s">
        <v>65</v>
      </c>
      <c r="P53" s="25" t="s">
        <v>66</v>
      </c>
      <c r="Q53" s="22" t="s">
        <v>3265</v>
      </c>
    </row>
    <row r="54" ht="24" customHeight="1" spans="1:17" x14ac:dyDescent="0.25">
      <c r="A54" s="21" t="s">
        <v>3414</v>
      </c>
      <c r="B54" s="22" t="s">
        <v>34</v>
      </c>
      <c r="C54" s="22" t="s">
        <v>3387</v>
      </c>
      <c r="D54" s="22" t="s">
        <v>3415</v>
      </c>
      <c r="E54" s="22" t="s">
        <v>3416</v>
      </c>
      <c r="F54" s="22" t="s">
        <v>3269</v>
      </c>
      <c r="G54" s="22" t="s">
        <v>3270</v>
      </c>
      <c r="H54" s="26" t="s">
        <v>73</v>
      </c>
      <c r="I54" s="12">
        <v>0.5</v>
      </c>
      <c r="J54" s="12">
        <v>2.5</v>
      </c>
      <c r="K54" s="12">
        <v>1</v>
      </c>
      <c r="L54" s="9">
        <f>SUM(I54:K54)</f>
      </c>
      <c r="M54" s="9">
        <v>100</v>
      </c>
      <c r="N54" s="14" t="s">
        <v>64</v>
      </c>
      <c r="O54" s="24" t="s">
        <v>65</v>
      </c>
      <c r="P54" s="25" t="s">
        <v>66</v>
      </c>
      <c r="Q54" s="22" t="s">
        <v>3271</v>
      </c>
    </row>
    <row r="55" ht="24" customHeight="1" spans="1:17" x14ac:dyDescent="0.25">
      <c r="A55" s="21" t="s">
        <v>3417</v>
      </c>
      <c r="B55" s="22" t="s">
        <v>34</v>
      </c>
      <c r="C55" s="22" t="s">
        <v>3387</v>
      </c>
      <c r="D55" s="22" t="s">
        <v>3418</v>
      </c>
      <c r="E55" s="22" t="s">
        <v>3419</v>
      </c>
      <c r="F55" s="22" t="s">
        <v>3275</v>
      </c>
      <c r="G55" s="22" t="s">
        <v>3276</v>
      </c>
      <c r="H55" s="26" t="s">
        <v>73</v>
      </c>
      <c r="I55" s="12">
        <v>0.5</v>
      </c>
      <c r="J55" s="12">
        <v>2.5</v>
      </c>
      <c r="K55" s="12">
        <v>1</v>
      </c>
      <c r="L55" s="9">
        <f>SUM(I55:K55)</f>
      </c>
      <c r="M55" s="9">
        <v>100</v>
      </c>
      <c r="N55" s="14" t="s">
        <v>64</v>
      </c>
      <c r="O55" s="24" t="s">
        <v>65</v>
      </c>
      <c r="P55" s="25" t="s">
        <v>66</v>
      </c>
      <c r="Q55" s="22" t="s">
        <v>3277</v>
      </c>
    </row>
    <row r="56" ht="24" customHeight="1" spans="1:17" x14ac:dyDescent="0.25">
      <c r="A56" s="21" t="s">
        <v>3420</v>
      </c>
      <c r="B56" s="22" t="s">
        <v>34</v>
      </c>
      <c r="C56" s="22" t="s">
        <v>3387</v>
      </c>
      <c r="D56" s="22" t="s">
        <v>3421</v>
      </c>
      <c r="E56" s="22" t="s">
        <v>3422</v>
      </c>
      <c r="F56" s="22" t="s">
        <v>3281</v>
      </c>
      <c r="G56" s="22" t="s">
        <v>3282</v>
      </c>
      <c r="H56" s="26" t="s">
        <v>73</v>
      </c>
      <c r="I56" s="12">
        <v>0.5</v>
      </c>
      <c r="J56" s="12">
        <v>2.5</v>
      </c>
      <c r="K56" s="12">
        <v>1</v>
      </c>
      <c r="L56" s="9">
        <f>SUM(I56:K56)</f>
      </c>
      <c r="M56" s="9">
        <v>100</v>
      </c>
      <c r="N56" s="14" t="s">
        <v>64</v>
      </c>
      <c r="O56" s="24" t="s">
        <v>65</v>
      </c>
      <c r="P56" s="25" t="s">
        <v>66</v>
      </c>
      <c r="Q56" s="22" t="s">
        <v>3283</v>
      </c>
    </row>
    <row r="57" ht="24" customHeight="1" spans="1:17" x14ac:dyDescent="0.25">
      <c r="A57" s="21" t="s">
        <v>3423</v>
      </c>
      <c r="B57" s="22" t="s">
        <v>34</v>
      </c>
      <c r="C57" s="22" t="s">
        <v>3387</v>
      </c>
      <c r="D57" s="22" t="s">
        <v>3424</v>
      </c>
      <c r="E57" s="22" t="s">
        <v>3425</v>
      </c>
      <c r="F57" s="22" t="s">
        <v>3287</v>
      </c>
      <c r="G57" s="22" t="s">
        <v>154</v>
      </c>
      <c r="H57" s="26" t="s">
        <v>73</v>
      </c>
      <c r="I57" s="12">
        <v>0.5</v>
      </c>
      <c r="J57" s="12">
        <v>2.5</v>
      </c>
      <c r="K57" s="12">
        <v>1</v>
      </c>
      <c r="L57" s="9">
        <f>SUM(I57:K57)</f>
      </c>
      <c r="M57" s="9">
        <v>100</v>
      </c>
      <c r="N57" s="14" t="s">
        <v>64</v>
      </c>
      <c r="O57" s="24" t="s">
        <v>65</v>
      </c>
      <c r="P57" s="25" t="s">
        <v>66</v>
      </c>
      <c r="Q57" s="22" t="s">
        <v>3288</v>
      </c>
    </row>
    <row r="58" ht="24" customHeight="1" spans="1:17" x14ac:dyDescent="0.25">
      <c r="A58" s="21" t="s">
        <v>3426</v>
      </c>
      <c r="B58" s="22" t="s">
        <v>34</v>
      </c>
      <c r="C58" s="22" t="s">
        <v>3387</v>
      </c>
      <c r="D58" s="22" t="s">
        <v>3427</v>
      </c>
      <c r="E58" s="22" t="s">
        <v>3428</v>
      </c>
      <c r="F58" s="22" t="s">
        <v>3292</v>
      </c>
      <c r="G58" s="22" t="s">
        <v>165</v>
      </c>
      <c r="H58" s="26" t="s">
        <v>73</v>
      </c>
      <c r="I58" s="12">
        <v>0.5</v>
      </c>
      <c r="J58" s="12">
        <v>2.5</v>
      </c>
      <c r="K58" s="12">
        <v>1</v>
      </c>
      <c r="L58" s="9">
        <f>SUM(I58:K58)</f>
      </c>
      <c r="M58" s="9">
        <v>100</v>
      </c>
      <c r="N58" s="14" t="s">
        <v>64</v>
      </c>
      <c r="O58" s="24" t="s">
        <v>65</v>
      </c>
      <c r="P58" s="25" t="s">
        <v>66</v>
      </c>
      <c r="Q58" s="22" t="s">
        <v>3293</v>
      </c>
    </row>
    <row r="59" ht="24" customHeight="1" spans="1:17" x14ac:dyDescent="0.25">
      <c r="A59" s="21" t="s">
        <v>3429</v>
      </c>
      <c r="B59" s="22" t="s">
        <v>34</v>
      </c>
      <c r="C59" s="22" t="s">
        <v>3387</v>
      </c>
      <c r="D59" s="22" t="s">
        <v>3430</v>
      </c>
      <c r="E59" s="22" t="s">
        <v>3431</v>
      </c>
      <c r="F59" s="22" t="s">
        <v>3297</v>
      </c>
      <c r="G59" s="22" t="s">
        <v>3242</v>
      </c>
      <c r="H59" s="23" t="s">
        <v>63</v>
      </c>
      <c r="I59" s="12">
        <v>0.5</v>
      </c>
      <c r="J59" s="12">
        <v>2.5</v>
      </c>
      <c r="K59" s="12">
        <v>1</v>
      </c>
      <c r="L59" s="9">
        <f>SUM(I59:K59)</f>
      </c>
      <c r="M59" s="9">
        <v>100</v>
      </c>
      <c r="N59" s="14" t="s">
        <v>64</v>
      </c>
      <c r="O59" s="24" t="s">
        <v>65</v>
      </c>
      <c r="P59" s="25" t="s">
        <v>66</v>
      </c>
      <c r="Q59" s="22" t="s">
        <v>3298</v>
      </c>
    </row>
    <row r="60" ht="24" customHeight="1" spans="1:17" x14ac:dyDescent="0.25">
      <c r="A60" s="21" t="s">
        <v>3432</v>
      </c>
      <c r="B60" s="22" t="s">
        <v>34</v>
      </c>
      <c r="C60" s="22" t="s">
        <v>3387</v>
      </c>
      <c r="D60" s="22" t="s">
        <v>3433</v>
      </c>
      <c r="E60" s="22" t="s">
        <v>3434</v>
      </c>
      <c r="F60" s="22" t="s">
        <v>3302</v>
      </c>
      <c r="G60" s="22" t="s">
        <v>2522</v>
      </c>
      <c r="H60" s="23" t="s">
        <v>63</v>
      </c>
      <c r="I60" s="12">
        <v>0.5</v>
      </c>
      <c r="J60" s="12">
        <v>2.5</v>
      </c>
      <c r="K60" s="12">
        <v>1</v>
      </c>
      <c r="L60" s="9">
        <f>SUM(I60:K60)</f>
      </c>
      <c r="M60" s="9">
        <v>100</v>
      </c>
      <c r="N60" s="14" t="s">
        <v>64</v>
      </c>
      <c r="O60" s="24" t="s">
        <v>65</v>
      </c>
      <c r="P60" s="25" t="s">
        <v>66</v>
      </c>
      <c r="Q60" s="22" t="s">
        <v>3303</v>
      </c>
    </row>
    <row r="61" ht="24" customHeight="1" spans="1:17" x14ac:dyDescent="0.25">
      <c r="A61" s="21" t="s">
        <v>3435</v>
      </c>
      <c r="B61" s="22" t="s">
        <v>34</v>
      </c>
      <c r="C61" s="22" t="s">
        <v>3387</v>
      </c>
      <c r="D61" s="22" t="s">
        <v>3436</v>
      </c>
      <c r="E61" s="22" t="s">
        <v>3437</v>
      </c>
      <c r="F61" s="22" t="s">
        <v>3307</v>
      </c>
      <c r="G61" s="22" t="s">
        <v>1519</v>
      </c>
      <c r="H61" s="9" t="s">
        <v>101</v>
      </c>
      <c r="I61" s="12">
        <v>0.5</v>
      </c>
      <c r="J61" s="12">
        <v>2.5</v>
      </c>
      <c r="K61" s="12">
        <v>1</v>
      </c>
      <c r="L61" s="9">
        <f>SUM(I61:K61)</f>
      </c>
      <c r="M61" s="9">
        <v>100</v>
      </c>
      <c r="N61" s="14" t="s">
        <v>64</v>
      </c>
      <c r="O61" s="24" t="s">
        <v>65</v>
      </c>
      <c r="P61" s="25" t="s">
        <v>66</v>
      </c>
      <c r="Q61" s="22" t="s">
        <v>3308</v>
      </c>
    </row>
    <row r="62" ht="24" customHeight="1" spans="1:17" x14ac:dyDescent="0.25">
      <c r="A62" s="21" t="s">
        <v>3438</v>
      </c>
      <c r="B62" s="22" t="s">
        <v>34</v>
      </c>
      <c r="C62" s="22" t="s">
        <v>3387</v>
      </c>
      <c r="D62" s="22" t="s">
        <v>3439</v>
      </c>
      <c r="E62" s="22" t="s">
        <v>3440</v>
      </c>
      <c r="F62" s="22" t="s">
        <v>3312</v>
      </c>
      <c r="G62" s="22" t="s">
        <v>79</v>
      </c>
      <c r="H62" s="23" t="s">
        <v>63</v>
      </c>
      <c r="I62" s="12">
        <v>0.5</v>
      </c>
      <c r="J62" s="12">
        <v>2.5</v>
      </c>
      <c r="K62" s="12">
        <v>1</v>
      </c>
      <c r="L62" s="9">
        <f>SUM(I62:K62)</f>
      </c>
      <c r="M62" s="9">
        <v>100</v>
      </c>
      <c r="N62" s="14" t="s">
        <v>64</v>
      </c>
      <c r="O62" s="24" t="s">
        <v>65</v>
      </c>
      <c r="P62" s="25" t="s">
        <v>66</v>
      </c>
      <c r="Q62" s="22" t="s">
        <v>3313</v>
      </c>
    </row>
    <row r="63" ht="24" customHeight="1" spans="1:17" x14ac:dyDescent="0.25">
      <c r="A63" s="21" t="s">
        <v>3441</v>
      </c>
      <c r="B63" s="22" t="s">
        <v>34</v>
      </c>
      <c r="C63" s="22" t="s">
        <v>3387</v>
      </c>
      <c r="D63" s="22" t="s">
        <v>3442</v>
      </c>
      <c r="E63" s="22" t="s">
        <v>3443</v>
      </c>
      <c r="F63" s="22" t="s">
        <v>3317</v>
      </c>
      <c r="G63" s="22" t="s">
        <v>3318</v>
      </c>
      <c r="H63" s="26" t="s">
        <v>73</v>
      </c>
      <c r="I63" s="12">
        <v>0.5</v>
      </c>
      <c r="J63" s="12">
        <v>2.5</v>
      </c>
      <c r="K63" s="12">
        <v>1</v>
      </c>
      <c r="L63" s="9">
        <f>SUM(I63:K63)</f>
      </c>
      <c r="M63" s="9">
        <v>100</v>
      </c>
      <c r="N63" s="14" t="s">
        <v>64</v>
      </c>
      <c r="O63" s="24" t="s">
        <v>65</v>
      </c>
      <c r="P63" s="25" t="s">
        <v>66</v>
      </c>
      <c r="Q63" s="22" t="s">
        <v>3319</v>
      </c>
    </row>
    <row r="64" ht="24" customHeight="1" spans="1:17" x14ac:dyDescent="0.25">
      <c r="A64" s="21" t="s">
        <v>3444</v>
      </c>
      <c r="B64" s="22" t="s">
        <v>34</v>
      </c>
      <c r="C64" s="22" t="s">
        <v>3387</v>
      </c>
      <c r="D64" s="22" t="s">
        <v>3445</v>
      </c>
      <c r="E64" s="22" t="s">
        <v>3446</v>
      </c>
      <c r="F64" s="22" t="s">
        <v>3323</v>
      </c>
      <c r="G64" s="22" t="s">
        <v>2875</v>
      </c>
      <c r="H64" s="23" t="s">
        <v>63</v>
      </c>
      <c r="I64" s="12">
        <v>0.5</v>
      </c>
      <c r="J64" s="12">
        <v>2.5</v>
      </c>
      <c r="K64" s="12">
        <v>1</v>
      </c>
      <c r="L64" s="9">
        <f>SUM(I64:K64)</f>
      </c>
      <c r="M64" s="9">
        <v>100</v>
      </c>
      <c r="N64" s="14" t="s">
        <v>64</v>
      </c>
      <c r="O64" s="24" t="s">
        <v>65</v>
      </c>
      <c r="P64" s="25" t="s">
        <v>66</v>
      </c>
      <c r="Q64" s="22" t="s">
        <v>3324</v>
      </c>
    </row>
    <row r="65" ht="24" customHeight="1" spans="1:17" x14ac:dyDescent="0.25">
      <c r="A65" s="21" t="s">
        <v>3447</v>
      </c>
      <c r="B65" s="22" t="s">
        <v>34</v>
      </c>
      <c r="C65" s="22" t="s">
        <v>3448</v>
      </c>
      <c r="D65" s="22" t="s">
        <v>3449</v>
      </c>
      <c r="E65" s="22" t="s">
        <v>3450</v>
      </c>
      <c r="F65" s="22" t="s">
        <v>3220</v>
      </c>
      <c r="G65" s="22" t="s">
        <v>3221</v>
      </c>
      <c r="H65" s="26" t="s">
        <v>73</v>
      </c>
      <c r="I65" s="12">
        <v>1</v>
      </c>
      <c r="J65" s="12">
        <v>2</v>
      </c>
      <c r="K65" s="12">
        <v>1.5</v>
      </c>
      <c r="L65" s="9">
        <f>SUM(I65:K65)</f>
      </c>
      <c r="M65" s="9">
        <v>100</v>
      </c>
      <c r="N65" s="14" t="s">
        <v>64</v>
      </c>
      <c r="O65" s="24" t="s">
        <v>65</v>
      </c>
      <c r="P65" s="25" t="s">
        <v>66</v>
      </c>
      <c r="Q65" s="22" t="s">
        <v>3222</v>
      </c>
    </row>
    <row r="66" ht="24" customHeight="1" spans="1:17" x14ac:dyDescent="0.25">
      <c r="A66" s="21" t="s">
        <v>3451</v>
      </c>
      <c r="B66" s="22" t="s">
        <v>34</v>
      </c>
      <c r="C66" s="22" t="s">
        <v>3448</v>
      </c>
      <c r="D66" s="22" t="s">
        <v>3452</v>
      </c>
      <c r="E66" s="22" t="s">
        <v>3453</v>
      </c>
      <c r="F66" s="22" t="s">
        <v>3226</v>
      </c>
      <c r="G66" s="22" t="s">
        <v>3221</v>
      </c>
      <c r="H66" s="26" t="s">
        <v>73</v>
      </c>
      <c r="I66" s="12">
        <v>1</v>
      </c>
      <c r="J66" s="12">
        <v>2</v>
      </c>
      <c r="K66" s="12">
        <v>1.5</v>
      </c>
      <c r="L66" s="9">
        <f>SUM(I66:K66)</f>
      </c>
      <c r="M66" s="9">
        <v>100</v>
      </c>
      <c r="N66" s="14" t="s">
        <v>64</v>
      </c>
      <c r="O66" s="24" t="s">
        <v>65</v>
      </c>
      <c r="P66" s="25" t="s">
        <v>66</v>
      </c>
      <c r="Q66" s="22" t="s">
        <v>3227</v>
      </c>
    </row>
    <row r="67" ht="24" customHeight="1" spans="1:17" x14ac:dyDescent="0.25">
      <c r="A67" s="21" t="s">
        <v>3454</v>
      </c>
      <c r="B67" s="22" t="s">
        <v>34</v>
      </c>
      <c r="C67" s="22" t="s">
        <v>3448</v>
      </c>
      <c r="D67" s="22" t="s">
        <v>3455</v>
      </c>
      <c r="E67" s="22" t="s">
        <v>3456</v>
      </c>
      <c r="F67" s="22" t="s">
        <v>3231</v>
      </c>
      <c r="G67" s="22" t="s">
        <v>165</v>
      </c>
      <c r="H67" s="26" t="s">
        <v>73</v>
      </c>
      <c r="I67" s="12">
        <v>1</v>
      </c>
      <c r="J67" s="12">
        <v>2</v>
      </c>
      <c r="K67" s="12">
        <v>1.5</v>
      </c>
      <c r="L67" s="9">
        <f>SUM(I67:K67)</f>
      </c>
      <c r="M67" s="9">
        <v>100</v>
      </c>
      <c r="N67" s="14" t="s">
        <v>64</v>
      </c>
      <c r="O67" s="24" t="s">
        <v>65</v>
      </c>
      <c r="P67" s="25" t="s">
        <v>66</v>
      </c>
      <c r="Q67" s="22" t="s">
        <v>3232</v>
      </c>
    </row>
    <row r="68" ht="24" customHeight="1" spans="1:17" x14ac:dyDescent="0.25">
      <c r="A68" s="21" t="s">
        <v>3457</v>
      </c>
      <c r="B68" s="22" t="s">
        <v>34</v>
      </c>
      <c r="C68" s="22" t="s">
        <v>3448</v>
      </c>
      <c r="D68" s="22" t="s">
        <v>3458</v>
      </c>
      <c r="E68" s="22" t="s">
        <v>3459</v>
      </c>
      <c r="F68" s="22" t="s">
        <v>3236</v>
      </c>
      <c r="G68" s="22" t="s">
        <v>165</v>
      </c>
      <c r="H68" s="26" t="s">
        <v>73</v>
      </c>
      <c r="I68" s="12">
        <v>1</v>
      </c>
      <c r="J68" s="12">
        <v>2</v>
      </c>
      <c r="K68" s="12">
        <v>1.5</v>
      </c>
      <c r="L68" s="9">
        <f>SUM(I68:K68)</f>
      </c>
      <c r="M68" s="9">
        <v>100</v>
      </c>
      <c r="N68" s="14" t="s">
        <v>64</v>
      </c>
      <c r="O68" s="24" t="s">
        <v>65</v>
      </c>
      <c r="P68" s="25" t="s">
        <v>66</v>
      </c>
      <c r="Q68" s="22" t="s">
        <v>3237</v>
      </c>
    </row>
    <row r="69" ht="24" customHeight="1" spans="1:17" x14ac:dyDescent="0.25">
      <c r="A69" s="21" t="s">
        <v>3460</v>
      </c>
      <c r="B69" s="22" t="s">
        <v>34</v>
      </c>
      <c r="C69" s="22" t="s">
        <v>3448</v>
      </c>
      <c r="D69" s="22" t="s">
        <v>3461</v>
      </c>
      <c r="E69" s="22" t="s">
        <v>3462</v>
      </c>
      <c r="F69" s="22" t="s">
        <v>3241</v>
      </c>
      <c r="G69" s="22" t="s">
        <v>3242</v>
      </c>
      <c r="H69" s="26" t="s">
        <v>73</v>
      </c>
      <c r="I69" s="12">
        <v>1</v>
      </c>
      <c r="J69" s="12">
        <v>2</v>
      </c>
      <c r="K69" s="12">
        <v>1.5</v>
      </c>
      <c r="L69" s="9">
        <f>SUM(I69:K69)</f>
      </c>
      <c r="M69" s="9">
        <v>100</v>
      </c>
      <c r="N69" s="14" t="s">
        <v>64</v>
      </c>
      <c r="O69" s="24" t="s">
        <v>65</v>
      </c>
      <c r="P69" s="25" t="s">
        <v>66</v>
      </c>
      <c r="Q69" s="22" t="s">
        <v>3243</v>
      </c>
    </row>
    <row r="70" ht="24" customHeight="1" spans="1:17" x14ac:dyDescent="0.25">
      <c r="A70" s="21" t="s">
        <v>3463</v>
      </c>
      <c r="B70" s="22" t="s">
        <v>34</v>
      </c>
      <c r="C70" s="22" t="s">
        <v>3448</v>
      </c>
      <c r="D70" s="22" t="s">
        <v>3464</v>
      </c>
      <c r="E70" s="22" t="s">
        <v>3465</v>
      </c>
      <c r="F70" s="22" t="s">
        <v>3247</v>
      </c>
      <c r="G70" s="22" t="s">
        <v>3242</v>
      </c>
      <c r="H70" s="26" t="s">
        <v>73</v>
      </c>
      <c r="I70" s="12">
        <v>1</v>
      </c>
      <c r="J70" s="12">
        <v>2</v>
      </c>
      <c r="K70" s="12">
        <v>1.5</v>
      </c>
      <c r="L70" s="9">
        <f>SUM(I70:K70)</f>
      </c>
      <c r="M70" s="9">
        <v>100</v>
      </c>
      <c r="N70" s="14" t="s">
        <v>64</v>
      </c>
      <c r="O70" s="24" t="s">
        <v>65</v>
      </c>
      <c r="P70" s="25" t="s">
        <v>66</v>
      </c>
      <c r="Q70" s="22" t="s">
        <v>3248</v>
      </c>
    </row>
    <row r="71" ht="24" customHeight="1" spans="1:17" x14ac:dyDescent="0.25">
      <c r="A71" s="21" t="s">
        <v>3466</v>
      </c>
      <c r="B71" s="22" t="s">
        <v>34</v>
      </c>
      <c r="C71" s="22" t="s">
        <v>3448</v>
      </c>
      <c r="D71" s="22" t="s">
        <v>3467</v>
      </c>
      <c r="E71" s="22" t="s">
        <v>3468</v>
      </c>
      <c r="F71" s="22" t="s">
        <v>3252</v>
      </c>
      <c r="G71" s="22" t="s">
        <v>3253</v>
      </c>
      <c r="H71" s="23" t="s">
        <v>63</v>
      </c>
      <c r="I71" s="12">
        <v>1</v>
      </c>
      <c r="J71" s="12">
        <v>2</v>
      </c>
      <c r="K71" s="12">
        <v>1.5</v>
      </c>
      <c r="L71" s="9">
        <f>SUM(I71:K71)</f>
      </c>
      <c r="M71" s="9">
        <v>100</v>
      </c>
      <c r="N71" s="14" t="s">
        <v>64</v>
      </c>
      <c r="O71" s="24" t="s">
        <v>65</v>
      </c>
      <c r="P71" s="25" t="s">
        <v>66</v>
      </c>
      <c r="Q71" s="22" t="s">
        <v>3254</v>
      </c>
    </row>
    <row r="72" ht="24" customHeight="1" spans="1:17" x14ac:dyDescent="0.25">
      <c r="A72" s="21" t="s">
        <v>3469</v>
      </c>
      <c r="B72" s="22" t="s">
        <v>34</v>
      </c>
      <c r="C72" s="22" t="s">
        <v>3448</v>
      </c>
      <c r="D72" s="22" t="s">
        <v>3470</v>
      </c>
      <c r="E72" s="22" t="s">
        <v>3471</v>
      </c>
      <c r="F72" s="22" t="s">
        <v>3258</v>
      </c>
      <c r="G72" s="22" t="s">
        <v>3259</v>
      </c>
      <c r="H72" s="26" t="s">
        <v>73</v>
      </c>
      <c r="I72" s="12">
        <v>1</v>
      </c>
      <c r="J72" s="12">
        <v>2</v>
      </c>
      <c r="K72" s="12">
        <v>1.5</v>
      </c>
      <c r="L72" s="9">
        <f>SUM(I72:K72)</f>
      </c>
      <c r="M72" s="9">
        <v>100</v>
      </c>
      <c r="N72" s="14" t="s">
        <v>64</v>
      </c>
      <c r="O72" s="24" t="s">
        <v>65</v>
      </c>
      <c r="P72" s="25" t="s">
        <v>66</v>
      </c>
      <c r="Q72" s="22" t="s">
        <v>3260</v>
      </c>
    </row>
    <row r="73" ht="24" customHeight="1" spans="1:17" x14ac:dyDescent="0.25">
      <c r="A73" s="21" t="s">
        <v>3472</v>
      </c>
      <c r="B73" s="22" t="s">
        <v>34</v>
      </c>
      <c r="C73" s="22" t="s">
        <v>3448</v>
      </c>
      <c r="D73" s="22" t="s">
        <v>3473</v>
      </c>
      <c r="E73" s="22" t="s">
        <v>3474</v>
      </c>
      <c r="F73" s="22" t="s">
        <v>3264</v>
      </c>
      <c r="G73" s="22" t="s">
        <v>165</v>
      </c>
      <c r="H73" s="26" t="s">
        <v>73</v>
      </c>
      <c r="I73" s="12">
        <v>1</v>
      </c>
      <c r="J73" s="12">
        <v>2</v>
      </c>
      <c r="K73" s="12">
        <v>1.5</v>
      </c>
      <c r="L73" s="9">
        <f>SUM(I73:K73)</f>
      </c>
      <c r="M73" s="9">
        <v>100</v>
      </c>
      <c r="N73" s="14" t="s">
        <v>64</v>
      </c>
      <c r="O73" s="24" t="s">
        <v>65</v>
      </c>
      <c r="P73" s="25" t="s">
        <v>66</v>
      </c>
      <c r="Q73" s="22" t="s">
        <v>3265</v>
      </c>
    </row>
    <row r="74" ht="24" customHeight="1" spans="1:17" x14ac:dyDescent="0.25">
      <c r="A74" s="21" t="s">
        <v>3475</v>
      </c>
      <c r="B74" s="22" t="s">
        <v>34</v>
      </c>
      <c r="C74" s="22" t="s">
        <v>3448</v>
      </c>
      <c r="D74" s="22" t="s">
        <v>3476</v>
      </c>
      <c r="E74" s="22" t="s">
        <v>3477</v>
      </c>
      <c r="F74" s="22" t="s">
        <v>3269</v>
      </c>
      <c r="G74" s="22" t="s">
        <v>3270</v>
      </c>
      <c r="H74" s="26" t="s">
        <v>73</v>
      </c>
      <c r="I74" s="12">
        <v>1</v>
      </c>
      <c r="J74" s="12">
        <v>2</v>
      </c>
      <c r="K74" s="12">
        <v>1.5</v>
      </c>
      <c r="L74" s="9">
        <f>SUM(I74:K74)</f>
      </c>
      <c r="M74" s="9">
        <v>100</v>
      </c>
      <c r="N74" s="14" t="s">
        <v>64</v>
      </c>
      <c r="O74" s="24" t="s">
        <v>65</v>
      </c>
      <c r="P74" s="25" t="s">
        <v>66</v>
      </c>
      <c r="Q74" s="22" t="s">
        <v>3271</v>
      </c>
    </row>
    <row r="75" ht="24" customHeight="1" spans="1:17" x14ac:dyDescent="0.25">
      <c r="A75" s="21" t="s">
        <v>3478</v>
      </c>
      <c r="B75" s="22" t="s">
        <v>34</v>
      </c>
      <c r="C75" s="22" t="s">
        <v>3448</v>
      </c>
      <c r="D75" s="22" t="s">
        <v>3479</v>
      </c>
      <c r="E75" s="22" t="s">
        <v>3480</v>
      </c>
      <c r="F75" s="22" t="s">
        <v>3275</v>
      </c>
      <c r="G75" s="22" t="s">
        <v>3276</v>
      </c>
      <c r="H75" s="26" t="s">
        <v>73</v>
      </c>
      <c r="I75" s="12">
        <v>1</v>
      </c>
      <c r="J75" s="12">
        <v>2</v>
      </c>
      <c r="K75" s="12">
        <v>1.5</v>
      </c>
      <c r="L75" s="9">
        <f>SUM(I75:K75)</f>
      </c>
      <c r="M75" s="9">
        <v>100</v>
      </c>
      <c r="N75" s="14" t="s">
        <v>64</v>
      </c>
      <c r="O75" s="24" t="s">
        <v>65</v>
      </c>
      <c r="P75" s="25" t="s">
        <v>66</v>
      </c>
      <c r="Q75" s="22" t="s">
        <v>3277</v>
      </c>
    </row>
    <row r="76" ht="24" customHeight="1" spans="1:17" x14ac:dyDescent="0.25">
      <c r="A76" s="21" t="s">
        <v>3481</v>
      </c>
      <c r="B76" s="22" t="s">
        <v>34</v>
      </c>
      <c r="C76" s="22" t="s">
        <v>3448</v>
      </c>
      <c r="D76" s="22" t="s">
        <v>3482</v>
      </c>
      <c r="E76" s="22" t="s">
        <v>3483</v>
      </c>
      <c r="F76" s="22" t="s">
        <v>3281</v>
      </c>
      <c r="G76" s="22" t="s">
        <v>3282</v>
      </c>
      <c r="H76" s="26" t="s">
        <v>73</v>
      </c>
      <c r="I76" s="12">
        <v>1</v>
      </c>
      <c r="J76" s="12">
        <v>2</v>
      </c>
      <c r="K76" s="12">
        <v>1.5</v>
      </c>
      <c r="L76" s="9">
        <f>SUM(I76:K76)</f>
      </c>
      <c r="M76" s="9">
        <v>100</v>
      </c>
      <c r="N76" s="14" t="s">
        <v>64</v>
      </c>
      <c r="O76" s="24" t="s">
        <v>65</v>
      </c>
      <c r="P76" s="25" t="s">
        <v>66</v>
      </c>
      <c r="Q76" s="22" t="s">
        <v>3283</v>
      </c>
    </row>
    <row r="77" ht="24" customHeight="1" spans="1:17" x14ac:dyDescent="0.25">
      <c r="A77" s="21" t="s">
        <v>3484</v>
      </c>
      <c r="B77" s="22" t="s">
        <v>34</v>
      </c>
      <c r="C77" s="22" t="s">
        <v>3448</v>
      </c>
      <c r="D77" s="22" t="s">
        <v>3485</v>
      </c>
      <c r="E77" s="22" t="s">
        <v>3486</v>
      </c>
      <c r="F77" s="22" t="s">
        <v>3287</v>
      </c>
      <c r="G77" s="22" t="s">
        <v>154</v>
      </c>
      <c r="H77" s="26" t="s">
        <v>73</v>
      </c>
      <c r="I77" s="12">
        <v>1</v>
      </c>
      <c r="J77" s="12">
        <v>2</v>
      </c>
      <c r="K77" s="12">
        <v>1.5</v>
      </c>
      <c r="L77" s="9">
        <f>SUM(I77:K77)</f>
      </c>
      <c r="M77" s="9">
        <v>100</v>
      </c>
      <c r="N77" s="14" t="s">
        <v>64</v>
      </c>
      <c r="O77" s="24" t="s">
        <v>65</v>
      </c>
      <c r="P77" s="25" t="s">
        <v>66</v>
      </c>
      <c r="Q77" s="22" t="s">
        <v>3288</v>
      </c>
    </row>
    <row r="78" ht="24" customHeight="1" spans="1:17" x14ac:dyDescent="0.25">
      <c r="A78" s="21" t="s">
        <v>3487</v>
      </c>
      <c r="B78" s="22" t="s">
        <v>34</v>
      </c>
      <c r="C78" s="22" t="s">
        <v>3448</v>
      </c>
      <c r="D78" s="22" t="s">
        <v>3488</v>
      </c>
      <c r="E78" s="22" t="s">
        <v>3489</v>
      </c>
      <c r="F78" s="22" t="s">
        <v>3292</v>
      </c>
      <c r="G78" s="22" t="s">
        <v>165</v>
      </c>
      <c r="H78" s="26" t="s">
        <v>73</v>
      </c>
      <c r="I78" s="12">
        <v>1</v>
      </c>
      <c r="J78" s="12">
        <v>2</v>
      </c>
      <c r="K78" s="12">
        <v>1.5</v>
      </c>
      <c r="L78" s="9">
        <f>SUM(I78:K78)</f>
      </c>
      <c r="M78" s="9">
        <v>100</v>
      </c>
      <c r="N78" s="14" t="s">
        <v>64</v>
      </c>
      <c r="O78" s="24" t="s">
        <v>65</v>
      </c>
      <c r="P78" s="25" t="s">
        <v>66</v>
      </c>
      <c r="Q78" s="22" t="s">
        <v>3293</v>
      </c>
    </row>
    <row r="79" ht="24" customHeight="1" spans="1:17" x14ac:dyDescent="0.25">
      <c r="A79" s="21" t="s">
        <v>3490</v>
      </c>
      <c r="B79" s="22" t="s">
        <v>34</v>
      </c>
      <c r="C79" s="22" t="s">
        <v>3448</v>
      </c>
      <c r="D79" s="22" t="s">
        <v>3491</v>
      </c>
      <c r="E79" s="22" t="s">
        <v>3492</v>
      </c>
      <c r="F79" s="22" t="s">
        <v>3297</v>
      </c>
      <c r="G79" s="22" t="s">
        <v>3242</v>
      </c>
      <c r="H79" s="23" t="s">
        <v>63</v>
      </c>
      <c r="I79" s="12">
        <v>1</v>
      </c>
      <c r="J79" s="12">
        <v>2</v>
      </c>
      <c r="K79" s="12">
        <v>1.5</v>
      </c>
      <c r="L79" s="9">
        <f>SUM(I79:K79)</f>
      </c>
      <c r="M79" s="9">
        <v>100</v>
      </c>
      <c r="N79" s="14" t="s">
        <v>64</v>
      </c>
      <c r="O79" s="24" t="s">
        <v>65</v>
      </c>
      <c r="P79" s="25" t="s">
        <v>66</v>
      </c>
      <c r="Q79" s="22" t="s">
        <v>3298</v>
      </c>
    </row>
    <row r="80" ht="24" customHeight="1" spans="1:17" x14ac:dyDescent="0.25">
      <c r="A80" s="21" t="s">
        <v>3493</v>
      </c>
      <c r="B80" s="22" t="s">
        <v>34</v>
      </c>
      <c r="C80" s="22" t="s">
        <v>3448</v>
      </c>
      <c r="D80" s="22" t="s">
        <v>3494</v>
      </c>
      <c r="E80" s="22" t="s">
        <v>3495</v>
      </c>
      <c r="F80" s="22" t="s">
        <v>3302</v>
      </c>
      <c r="G80" s="22" t="s">
        <v>2522</v>
      </c>
      <c r="H80" s="23" t="s">
        <v>63</v>
      </c>
      <c r="I80" s="12">
        <v>1</v>
      </c>
      <c r="J80" s="12">
        <v>2</v>
      </c>
      <c r="K80" s="12">
        <v>1.5</v>
      </c>
      <c r="L80" s="9">
        <f>SUM(I80:K80)</f>
      </c>
      <c r="M80" s="9">
        <v>100</v>
      </c>
      <c r="N80" s="14" t="s">
        <v>64</v>
      </c>
      <c r="O80" s="24" t="s">
        <v>65</v>
      </c>
      <c r="P80" s="25" t="s">
        <v>66</v>
      </c>
      <c r="Q80" s="22" t="s">
        <v>3303</v>
      </c>
    </row>
    <row r="81" ht="24" customHeight="1" spans="1:17" x14ac:dyDescent="0.25">
      <c r="A81" s="21" t="s">
        <v>3496</v>
      </c>
      <c r="B81" s="22" t="s">
        <v>34</v>
      </c>
      <c r="C81" s="22" t="s">
        <v>3448</v>
      </c>
      <c r="D81" s="22" t="s">
        <v>3497</v>
      </c>
      <c r="E81" s="22" t="s">
        <v>3498</v>
      </c>
      <c r="F81" s="22" t="s">
        <v>3307</v>
      </c>
      <c r="G81" s="22" t="s">
        <v>1519</v>
      </c>
      <c r="H81" s="9" t="s">
        <v>101</v>
      </c>
      <c r="I81" s="12">
        <v>1</v>
      </c>
      <c r="J81" s="12">
        <v>2</v>
      </c>
      <c r="K81" s="12">
        <v>1.5</v>
      </c>
      <c r="L81" s="9">
        <f>SUM(I81:K81)</f>
      </c>
      <c r="M81" s="9">
        <v>100</v>
      </c>
      <c r="N81" s="14" t="s">
        <v>64</v>
      </c>
      <c r="O81" s="24" t="s">
        <v>65</v>
      </c>
      <c r="P81" s="25" t="s">
        <v>66</v>
      </c>
      <c r="Q81" s="22" t="s">
        <v>3308</v>
      </c>
    </row>
    <row r="82" ht="24" customHeight="1" spans="1:17" x14ac:dyDescent="0.25">
      <c r="A82" s="21" t="s">
        <v>3499</v>
      </c>
      <c r="B82" s="22" t="s">
        <v>34</v>
      </c>
      <c r="C82" s="22" t="s">
        <v>3448</v>
      </c>
      <c r="D82" s="22" t="s">
        <v>3500</v>
      </c>
      <c r="E82" s="22" t="s">
        <v>3501</v>
      </c>
      <c r="F82" s="22" t="s">
        <v>3312</v>
      </c>
      <c r="G82" s="22" t="s">
        <v>79</v>
      </c>
      <c r="H82" s="23" t="s">
        <v>63</v>
      </c>
      <c r="I82" s="12">
        <v>1</v>
      </c>
      <c r="J82" s="12">
        <v>2</v>
      </c>
      <c r="K82" s="12">
        <v>1.5</v>
      </c>
      <c r="L82" s="9">
        <f>SUM(I82:K82)</f>
      </c>
      <c r="M82" s="9">
        <v>100</v>
      </c>
      <c r="N82" s="14" t="s">
        <v>64</v>
      </c>
      <c r="O82" s="24" t="s">
        <v>65</v>
      </c>
      <c r="P82" s="25" t="s">
        <v>66</v>
      </c>
      <c r="Q82" s="22" t="s">
        <v>3313</v>
      </c>
    </row>
    <row r="83" ht="24" customHeight="1" spans="1:17" x14ac:dyDescent="0.25">
      <c r="A83" s="21" t="s">
        <v>3502</v>
      </c>
      <c r="B83" s="22" t="s">
        <v>34</v>
      </c>
      <c r="C83" s="22" t="s">
        <v>3448</v>
      </c>
      <c r="D83" s="22" t="s">
        <v>3503</v>
      </c>
      <c r="E83" s="22" t="s">
        <v>3504</v>
      </c>
      <c r="F83" s="22" t="s">
        <v>3317</v>
      </c>
      <c r="G83" s="22" t="s">
        <v>3318</v>
      </c>
      <c r="H83" s="26" t="s">
        <v>73</v>
      </c>
      <c r="I83" s="12">
        <v>1</v>
      </c>
      <c r="J83" s="12">
        <v>2</v>
      </c>
      <c r="K83" s="12">
        <v>1.5</v>
      </c>
      <c r="L83" s="9">
        <f>SUM(I83:K83)</f>
      </c>
      <c r="M83" s="9">
        <v>100</v>
      </c>
      <c r="N83" s="14" t="s">
        <v>64</v>
      </c>
      <c r="O83" s="24" t="s">
        <v>65</v>
      </c>
      <c r="P83" s="25" t="s">
        <v>66</v>
      </c>
      <c r="Q83" s="22" t="s">
        <v>3319</v>
      </c>
    </row>
    <row r="84" ht="24" customHeight="1" spans="1:17" x14ac:dyDescent="0.25">
      <c r="A84" s="21" t="s">
        <v>3505</v>
      </c>
      <c r="B84" s="22" t="s">
        <v>34</v>
      </c>
      <c r="C84" s="22" t="s">
        <v>3448</v>
      </c>
      <c r="D84" s="22" t="s">
        <v>3506</v>
      </c>
      <c r="E84" s="22" t="s">
        <v>3507</v>
      </c>
      <c r="F84" s="22" t="s">
        <v>3323</v>
      </c>
      <c r="G84" s="22" t="s">
        <v>2875</v>
      </c>
      <c r="H84" s="23" t="s">
        <v>63</v>
      </c>
      <c r="I84" s="12">
        <v>1</v>
      </c>
      <c r="J84" s="12">
        <v>2</v>
      </c>
      <c r="K84" s="12">
        <v>1.5</v>
      </c>
      <c r="L84" s="9">
        <f>SUM(I84:K84)</f>
      </c>
      <c r="M84" s="9">
        <v>100</v>
      </c>
      <c r="N84" s="14" t="s">
        <v>64</v>
      </c>
      <c r="O84" s="24" t="s">
        <v>65</v>
      </c>
      <c r="P84" s="25" t="s">
        <v>66</v>
      </c>
      <c r="Q84" s="22" t="s">
        <v>3324</v>
      </c>
    </row>
    <row r="85" ht="24" customHeight="1" spans="1:17" x14ac:dyDescent="0.25">
      <c r="A85" s="21" t="s">
        <v>3508</v>
      </c>
      <c r="B85" s="22" t="s">
        <v>34</v>
      </c>
      <c r="C85" s="22" t="s">
        <v>3509</v>
      </c>
      <c r="D85" s="22" t="s">
        <v>3510</v>
      </c>
      <c r="E85" s="22" t="s">
        <v>3511</v>
      </c>
      <c r="F85" s="22" t="s">
        <v>3220</v>
      </c>
      <c r="G85" s="22" t="s">
        <v>3221</v>
      </c>
      <c r="H85" s="26" t="s">
        <v>73</v>
      </c>
      <c r="I85" s="12">
        <v>0.5</v>
      </c>
      <c r="J85" s="12">
        <v>0.5</v>
      </c>
      <c r="K85" s="12">
        <v>2</v>
      </c>
      <c r="L85" s="9">
        <f>SUM(I85:K85)</f>
      </c>
      <c r="M85" s="9">
        <v>100</v>
      </c>
      <c r="N85" s="14" t="s">
        <v>64</v>
      </c>
      <c r="O85" s="24" t="s">
        <v>65</v>
      </c>
      <c r="P85" s="25" t="s">
        <v>66</v>
      </c>
      <c r="Q85" s="22" t="s">
        <v>3222</v>
      </c>
    </row>
    <row r="86" ht="24" customHeight="1" spans="1:17" x14ac:dyDescent="0.25">
      <c r="A86" s="21" t="s">
        <v>3512</v>
      </c>
      <c r="B86" s="22" t="s">
        <v>34</v>
      </c>
      <c r="C86" s="22" t="s">
        <v>3509</v>
      </c>
      <c r="D86" s="22" t="s">
        <v>3513</v>
      </c>
      <c r="E86" s="22" t="s">
        <v>3514</v>
      </c>
      <c r="F86" s="22" t="s">
        <v>3226</v>
      </c>
      <c r="G86" s="22" t="s">
        <v>3221</v>
      </c>
      <c r="H86" s="26" t="s">
        <v>73</v>
      </c>
      <c r="I86" s="12">
        <v>0.5</v>
      </c>
      <c r="J86" s="12">
        <v>0.5</v>
      </c>
      <c r="K86" s="12">
        <v>2</v>
      </c>
      <c r="L86" s="9">
        <f>SUM(I86:K86)</f>
      </c>
      <c r="M86" s="9">
        <v>100</v>
      </c>
      <c r="N86" s="14" t="s">
        <v>64</v>
      </c>
      <c r="O86" s="24" t="s">
        <v>65</v>
      </c>
      <c r="P86" s="25" t="s">
        <v>66</v>
      </c>
      <c r="Q86" s="22" t="s">
        <v>3227</v>
      </c>
    </row>
    <row r="87" ht="24" customHeight="1" spans="1:17" x14ac:dyDescent="0.25">
      <c r="A87" s="21" t="s">
        <v>3515</v>
      </c>
      <c r="B87" s="22" t="s">
        <v>34</v>
      </c>
      <c r="C87" s="22" t="s">
        <v>3509</v>
      </c>
      <c r="D87" s="22" t="s">
        <v>3516</v>
      </c>
      <c r="E87" s="22" t="s">
        <v>3517</v>
      </c>
      <c r="F87" s="22" t="s">
        <v>3231</v>
      </c>
      <c r="G87" s="22" t="s">
        <v>165</v>
      </c>
      <c r="H87" s="26" t="s">
        <v>73</v>
      </c>
      <c r="I87" s="12">
        <v>0.5</v>
      </c>
      <c r="J87" s="12">
        <v>0.5</v>
      </c>
      <c r="K87" s="12">
        <v>2</v>
      </c>
      <c r="L87" s="9">
        <f>SUM(I87:K87)</f>
      </c>
      <c r="M87" s="9">
        <v>100</v>
      </c>
      <c r="N87" s="14" t="s">
        <v>64</v>
      </c>
      <c r="O87" s="24" t="s">
        <v>65</v>
      </c>
      <c r="P87" s="25" t="s">
        <v>66</v>
      </c>
      <c r="Q87" s="22" t="s">
        <v>3232</v>
      </c>
    </row>
    <row r="88" ht="24" customHeight="1" spans="1:17" x14ac:dyDescent="0.25">
      <c r="A88" s="21" t="s">
        <v>3518</v>
      </c>
      <c r="B88" s="22" t="s">
        <v>34</v>
      </c>
      <c r="C88" s="22" t="s">
        <v>3509</v>
      </c>
      <c r="D88" s="22" t="s">
        <v>3519</v>
      </c>
      <c r="E88" s="22" t="s">
        <v>3520</v>
      </c>
      <c r="F88" s="22" t="s">
        <v>3236</v>
      </c>
      <c r="G88" s="22" t="s">
        <v>165</v>
      </c>
      <c r="H88" s="26" t="s">
        <v>73</v>
      </c>
      <c r="I88" s="12">
        <v>0.5</v>
      </c>
      <c r="J88" s="12">
        <v>0.5</v>
      </c>
      <c r="K88" s="12">
        <v>2</v>
      </c>
      <c r="L88" s="9">
        <f>SUM(I88:K88)</f>
      </c>
      <c r="M88" s="9">
        <v>100</v>
      </c>
      <c r="N88" s="14" t="s">
        <v>64</v>
      </c>
      <c r="O88" s="24" t="s">
        <v>65</v>
      </c>
      <c r="P88" s="25" t="s">
        <v>66</v>
      </c>
      <c r="Q88" s="22" t="s">
        <v>3237</v>
      </c>
    </row>
    <row r="89" ht="24" customHeight="1" spans="1:17" x14ac:dyDescent="0.25">
      <c r="A89" s="21" t="s">
        <v>3521</v>
      </c>
      <c r="B89" s="22" t="s">
        <v>34</v>
      </c>
      <c r="C89" s="22" t="s">
        <v>3509</v>
      </c>
      <c r="D89" s="22" t="s">
        <v>3522</v>
      </c>
      <c r="E89" s="22" t="s">
        <v>3523</v>
      </c>
      <c r="F89" s="22" t="s">
        <v>3241</v>
      </c>
      <c r="G89" s="22" t="s">
        <v>3242</v>
      </c>
      <c r="H89" s="26" t="s">
        <v>73</v>
      </c>
      <c r="I89" s="12">
        <v>0.5</v>
      </c>
      <c r="J89" s="12">
        <v>0.5</v>
      </c>
      <c r="K89" s="12">
        <v>2</v>
      </c>
      <c r="L89" s="9">
        <f>SUM(I89:K89)</f>
      </c>
      <c r="M89" s="9">
        <v>100</v>
      </c>
      <c r="N89" s="14" t="s">
        <v>64</v>
      </c>
      <c r="O89" s="24" t="s">
        <v>65</v>
      </c>
      <c r="P89" s="25" t="s">
        <v>66</v>
      </c>
      <c r="Q89" s="22" t="s">
        <v>3243</v>
      </c>
    </row>
    <row r="90" ht="24" customHeight="1" spans="1:17" x14ac:dyDescent="0.25">
      <c r="A90" s="21" t="s">
        <v>3524</v>
      </c>
      <c r="B90" s="22" t="s">
        <v>34</v>
      </c>
      <c r="C90" s="22" t="s">
        <v>3509</v>
      </c>
      <c r="D90" s="22" t="s">
        <v>3525</v>
      </c>
      <c r="E90" s="22" t="s">
        <v>3526</v>
      </c>
      <c r="F90" s="22" t="s">
        <v>3247</v>
      </c>
      <c r="G90" s="22" t="s">
        <v>3242</v>
      </c>
      <c r="H90" s="26" t="s">
        <v>73</v>
      </c>
      <c r="I90" s="12">
        <v>0.5</v>
      </c>
      <c r="J90" s="12">
        <v>0.5</v>
      </c>
      <c r="K90" s="12">
        <v>2</v>
      </c>
      <c r="L90" s="9">
        <f>SUM(I90:K90)</f>
      </c>
      <c r="M90" s="9">
        <v>100</v>
      </c>
      <c r="N90" s="14" t="s">
        <v>64</v>
      </c>
      <c r="O90" s="24" t="s">
        <v>65</v>
      </c>
      <c r="P90" s="25" t="s">
        <v>66</v>
      </c>
      <c r="Q90" s="22" t="s">
        <v>3248</v>
      </c>
    </row>
    <row r="91" ht="24" customHeight="1" spans="1:17" x14ac:dyDescent="0.25">
      <c r="A91" s="21" t="s">
        <v>3527</v>
      </c>
      <c r="B91" s="22" t="s">
        <v>34</v>
      </c>
      <c r="C91" s="22" t="s">
        <v>3509</v>
      </c>
      <c r="D91" s="22" t="s">
        <v>3528</v>
      </c>
      <c r="E91" s="22" t="s">
        <v>3529</v>
      </c>
      <c r="F91" s="22" t="s">
        <v>3252</v>
      </c>
      <c r="G91" s="22" t="s">
        <v>3253</v>
      </c>
      <c r="H91" s="23" t="s">
        <v>63</v>
      </c>
      <c r="I91" s="12">
        <v>0.5</v>
      </c>
      <c r="J91" s="12">
        <v>0.5</v>
      </c>
      <c r="K91" s="12">
        <v>2</v>
      </c>
      <c r="L91" s="9">
        <f>SUM(I91:K91)</f>
      </c>
      <c r="M91" s="9">
        <v>100</v>
      </c>
      <c r="N91" s="14" t="s">
        <v>64</v>
      </c>
      <c r="O91" s="24" t="s">
        <v>65</v>
      </c>
      <c r="P91" s="25" t="s">
        <v>66</v>
      </c>
      <c r="Q91" s="22" t="s">
        <v>3254</v>
      </c>
    </row>
    <row r="92" ht="24" customHeight="1" spans="1:17" x14ac:dyDescent="0.25">
      <c r="A92" s="21" t="s">
        <v>3530</v>
      </c>
      <c r="B92" s="22" t="s">
        <v>34</v>
      </c>
      <c r="C92" s="22" t="s">
        <v>3509</v>
      </c>
      <c r="D92" s="22" t="s">
        <v>3531</v>
      </c>
      <c r="E92" s="22" t="s">
        <v>3532</v>
      </c>
      <c r="F92" s="22" t="s">
        <v>3258</v>
      </c>
      <c r="G92" s="22" t="s">
        <v>3259</v>
      </c>
      <c r="H92" s="26" t="s">
        <v>73</v>
      </c>
      <c r="I92" s="12">
        <v>0.5</v>
      </c>
      <c r="J92" s="12">
        <v>0.5</v>
      </c>
      <c r="K92" s="12">
        <v>2</v>
      </c>
      <c r="L92" s="9">
        <f>SUM(I92:K92)</f>
      </c>
      <c r="M92" s="9">
        <v>100</v>
      </c>
      <c r="N92" s="14" t="s">
        <v>64</v>
      </c>
      <c r="O92" s="24" t="s">
        <v>65</v>
      </c>
      <c r="P92" s="25" t="s">
        <v>66</v>
      </c>
      <c r="Q92" s="22" t="s">
        <v>3260</v>
      </c>
    </row>
    <row r="93" ht="24" customHeight="1" spans="1:17" x14ac:dyDescent="0.25">
      <c r="A93" s="21" t="s">
        <v>3533</v>
      </c>
      <c r="B93" s="22" t="s">
        <v>34</v>
      </c>
      <c r="C93" s="22" t="s">
        <v>3509</v>
      </c>
      <c r="D93" s="22" t="s">
        <v>3534</v>
      </c>
      <c r="E93" s="22" t="s">
        <v>3535</v>
      </c>
      <c r="F93" s="22" t="s">
        <v>3264</v>
      </c>
      <c r="G93" s="22" t="s">
        <v>165</v>
      </c>
      <c r="H93" s="26" t="s">
        <v>73</v>
      </c>
      <c r="I93" s="12">
        <v>0.5</v>
      </c>
      <c r="J93" s="12">
        <v>0.5</v>
      </c>
      <c r="K93" s="12">
        <v>2</v>
      </c>
      <c r="L93" s="9">
        <f>SUM(I93:K93)</f>
      </c>
      <c r="M93" s="9">
        <v>100</v>
      </c>
      <c r="N93" s="14" t="s">
        <v>64</v>
      </c>
      <c r="O93" s="24" t="s">
        <v>65</v>
      </c>
      <c r="P93" s="25" t="s">
        <v>66</v>
      </c>
      <c r="Q93" s="22" t="s">
        <v>3265</v>
      </c>
    </row>
    <row r="94" ht="24" customHeight="1" spans="1:17" x14ac:dyDescent="0.25">
      <c r="A94" s="21" t="s">
        <v>3536</v>
      </c>
      <c r="B94" s="22" t="s">
        <v>34</v>
      </c>
      <c r="C94" s="22" t="s">
        <v>3509</v>
      </c>
      <c r="D94" s="22" t="s">
        <v>3537</v>
      </c>
      <c r="E94" s="22" t="s">
        <v>3538</v>
      </c>
      <c r="F94" s="22" t="s">
        <v>3269</v>
      </c>
      <c r="G94" s="22" t="s">
        <v>3270</v>
      </c>
      <c r="H94" s="26" t="s">
        <v>73</v>
      </c>
      <c r="I94" s="12">
        <v>0.5</v>
      </c>
      <c r="J94" s="12">
        <v>0.5</v>
      </c>
      <c r="K94" s="12">
        <v>2</v>
      </c>
      <c r="L94" s="9">
        <f>SUM(I94:K94)</f>
      </c>
      <c r="M94" s="9">
        <v>100</v>
      </c>
      <c r="N94" s="14" t="s">
        <v>64</v>
      </c>
      <c r="O94" s="24" t="s">
        <v>65</v>
      </c>
      <c r="P94" s="25" t="s">
        <v>66</v>
      </c>
      <c r="Q94" s="22" t="s">
        <v>3271</v>
      </c>
    </row>
    <row r="95" ht="24" customHeight="1" spans="1:17" x14ac:dyDescent="0.25">
      <c r="A95" s="21" t="s">
        <v>3539</v>
      </c>
      <c r="B95" s="22" t="s">
        <v>34</v>
      </c>
      <c r="C95" s="22" t="s">
        <v>3509</v>
      </c>
      <c r="D95" s="22" t="s">
        <v>3540</v>
      </c>
      <c r="E95" s="22" t="s">
        <v>3541</v>
      </c>
      <c r="F95" s="22" t="s">
        <v>3275</v>
      </c>
      <c r="G95" s="22" t="s">
        <v>3276</v>
      </c>
      <c r="H95" s="26" t="s">
        <v>73</v>
      </c>
      <c r="I95" s="12">
        <v>0.5</v>
      </c>
      <c r="J95" s="12">
        <v>0.5</v>
      </c>
      <c r="K95" s="12">
        <v>2</v>
      </c>
      <c r="L95" s="9">
        <f>SUM(I95:K95)</f>
      </c>
      <c r="M95" s="9">
        <v>100</v>
      </c>
      <c r="N95" s="14" t="s">
        <v>64</v>
      </c>
      <c r="O95" s="24" t="s">
        <v>65</v>
      </c>
      <c r="P95" s="25" t="s">
        <v>66</v>
      </c>
      <c r="Q95" s="22" t="s">
        <v>3277</v>
      </c>
    </row>
    <row r="96" ht="24" customHeight="1" spans="1:17" x14ac:dyDescent="0.25">
      <c r="A96" s="21" t="s">
        <v>3542</v>
      </c>
      <c r="B96" s="22" t="s">
        <v>34</v>
      </c>
      <c r="C96" s="22" t="s">
        <v>3509</v>
      </c>
      <c r="D96" s="22" t="s">
        <v>3543</v>
      </c>
      <c r="E96" s="22" t="s">
        <v>3544</v>
      </c>
      <c r="F96" s="22" t="s">
        <v>3281</v>
      </c>
      <c r="G96" s="22" t="s">
        <v>3282</v>
      </c>
      <c r="H96" s="26" t="s">
        <v>73</v>
      </c>
      <c r="I96" s="12">
        <v>0.5</v>
      </c>
      <c r="J96" s="12">
        <v>0.5</v>
      </c>
      <c r="K96" s="12">
        <v>2</v>
      </c>
      <c r="L96" s="9">
        <f>SUM(I96:K96)</f>
      </c>
      <c r="M96" s="9">
        <v>100</v>
      </c>
      <c r="N96" s="14" t="s">
        <v>64</v>
      </c>
      <c r="O96" s="24" t="s">
        <v>65</v>
      </c>
      <c r="P96" s="25" t="s">
        <v>66</v>
      </c>
      <c r="Q96" s="22" t="s">
        <v>3283</v>
      </c>
    </row>
    <row r="97" ht="24" customHeight="1" spans="1:17" x14ac:dyDescent="0.25">
      <c r="A97" s="21" t="s">
        <v>3545</v>
      </c>
      <c r="B97" s="22" t="s">
        <v>34</v>
      </c>
      <c r="C97" s="22" t="s">
        <v>3509</v>
      </c>
      <c r="D97" s="22" t="s">
        <v>3546</v>
      </c>
      <c r="E97" s="22" t="s">
        <v>3547</v>
      </c>
      <c r="F97" s="22" t="s">
        <v>3287</v>
      </c>
      <c r="G97" s="22" t="s">
        <v>154</v>
      </c>
      <c r="H97" s="26" t="s">
        <v>73</v>
      </c>
      <c r="I97" s="12">
        <v>0.5</v>
      </c>
      <c r="J97" s="12">
        <v>0.5</v>
      </c>
      <c r="K97" s="12">
        <v>2</v>
      </c>
      <c r="L97" s="9">
        <f>SUM(I97:K97)</f>
      </c>
      <c r="M97" s="9">
        <v>100</v>
      </c>
      <c r="N97" s="14" t="s">
        <v>64</v>
      </c>
      <c r="O97" s="24" t="s">
        <v>65</v>
      </c>
      <c r="P97" s="25" t="s">
        <v>66</v>
      </c>
      <c r="Q97" s="22" t="s">
        <v>3288</v>
      </c>
    </row>
    <row r="98" ht="24" customHeight="1" spans="1:17" x14ac:dyDescent="0.25">
      <c r="A98" s="21" t="s">
        <v>3548</v>
      </c>
      <c r="B98" s="22" t="s">
        <v>34</v>
      </c>
      <c r="C98" s="22" t="s">
        <v>3509</v>
      </c>
      <c r="D98" s="22" t="s">
        <v>3549</v>
      </c>
      <c r="E98" s="22" t="s">
        <v>3550</v>
      </c>
      <c r="F98" s="22" t="s">
        <v>3292</v>
      </c>
      <c r="G98" s="22" t="s">
        <v>165</v>
      </c>
      <c r="H98" s="26" t="s">
        <v>73</v>
      </c>
      <c r="I98" s="12">
        <v>0.5</v>
      </c>
      <c r="J98" s="12">
        <v>0.5</v>
      </c>
      <c r="K98" s="12">
        <v>2</v>
      </c>
      <c r="L98" s="9">
        <f>SUM(I98:K98)</f>
      </c>
      <c r="M98" s="9">
        <v>100</v>
      </c>
      <c r="N98" s="14" t="s">
        <v>64</v>
      </c>
      <c r="O98" s="24" t="s">
        <v>65</v>
      </c>
      <c r="P98" s="25" t="s">
        <v>66</v>
      </c>
      <c r="Q98" s="22" t="s">
        <v>3293</v>
      </c>
    </row>
    <row r="99" ht="24" customHeight="1" spans="1:17" x14ac:dyDescent="0.25">
      <c r="A99" s="21" t="s">
        <v>3551</v>
      </c>
      <c r="B99" s="22" t="s">
        <v>34</v>
      </c>
      <c r="C99" s="22" t="s">
        <v>3509</v>
      </c>
      <c r="D99" s="22" t="s">
        <v>3552</v>
      </c>
      <c r="E99" s="22" t="s">
        <v>3553</v>
      </c>
      <c r="F99" s="22" t="s">
        <v>3297</v>
      </c>
      <c r="G99" s="22" t="s">
        <v>3242</v>
      </c>
      <c r="H99" s="23" t="s">
        <v>63</v>
      </c>
      <c r="I99" s="12">
        <v>0.5</v>
      </c>
      <c r="J99" s="12">
        <v>0.5</v>
      </c>
      <c r="K99" s="12">
        <v>2</v>
      </c>
      <c r="L99" s="9">
        <f>SUM(I99:K99)</f>
      </c>
      <c r="M99" s="9">
        <v>100</v>
      </c>
      <c r="N99" s="14" t="s">
        <v>64</v>
      </c>
      <c r="O99" s="24" t="s">
        <v>65</v>
      </c>
      <c r="P99" s="25" t="s">
        <v>66</v>
      </c>
      <c r="Q99" s="22" t="s">
        <v>3298</v>
      </c>
    </row>
    <row r="100" ht="24" customHeight="1" spans="1:17" x14ac:dyDescent="0.25">
      <c r="A100" s="21" t="s">
        <v>3554</v>
      </c>
      <c r="B100" s="22" t="s">
        <v>34</v>
      </c>
      <c r="C100" s="22" t="s">
        <v>3509</v>
      </c>
      <c r="D100" s="22" t="s">
        <v>3555</v>
      </c>
      <c r="E100" s="22" t="s">
        <v>3556</v>
      </c>
      <c r="F100" s="22" t="s">
        <v>3302</v>
      </c>
      <c r="G100" s="22" t="s">
        <v>2522</v>
      </c>
      <c r="H100" s="23" t="s">
        <v>63</v>
      </c>
      <c r="I100" s="12">
        <v>0.5</v>
      </c>
      <c r="J100" s="12">
        <v>0.5</v>
      </c>
      <c r="K100" s="12">
        <v>2</v>
      </c>
      <c r="L100" s="9">
        <f>SUM(I100:K100)</f>
      </c>
      <c r="M100" s="9">
        <v>100</v>
      </c>
      <c r="N100" s="14" t="s">
        <v>64</v>
      </c>
      <c r="O100" s="24" t="s">
        <v>65</v>
      </c>
      <c r="P100" s="25" t="s">
        <v>66</v>
      </c>
      <c r="Q100" s="22" t="s">
        <v>3303</v>
      </c>
    </row>
    <row r="101" ht="24" customHeight="1" spans="1:17" x14ac:dyDescent="0.25">
      <c r="A101" s="21" t="s">
        <v>3557</v>
      </c>
      <c r="B101" s="22" t="s">
        <v>34</v>
      </c>
      <c r="C101" s="22" t="s">
        <v>3509</v>
      </c>
      <c r="D101" s="22" t="s">
        <v>3558</v>
      </c>
      <c r="E101" s="22" t="s">
        <v>3559</v>
      </c>
      <c r="F101" s="22" t="s">
        <v>3307</v>
      </c>
      <c r="G101" s="22" t="s">
        <v>1519</v>
      </c>
      <c r="H101" s="9" t="s">
        <v>101</v>
      </c>
      <c r="I101" s="12">
        <v>0.5</v>
      </c>
      <c r="J101" s="12">
        <v>0.5</v>
      </c>
      <c r="K101" s="12">
        <v>2</v>
      </c>
      <c r="L101" s="9">
        <f>SUM(I101:K101)</f>
      </c>
      <c r="M101" s="9">
        <v>100</v>
      </c>
      <c r="N101" s="14" t="s">
        <v>64</v>
      </c>
      <c r="O101" s="24" t="s">
        <v>65</v>
      </c>
      <c r="P101" s="25" t="s">
        <v>66</v>
      </c>
      <c r="Q101" s="22" t="s">
        <v>3308</v>
      </c>
    </row>
    <row r="102" ht="24" customHeight="1" spans="1:17" x14ac:dyDescent="0.25">
      <c r="A102" s="21" t="s">
        <v>3560</v>
      </c>
      <c r="B102" s="22" t="s">
        <v>34</v>
      </c>
      <c r="C102" s="22" t="s">
        <v>3509</v>
      </c>
      <c r="D102" s="22" t="s">
        <v>3561</v>
      </c>
      <c r="E102" s="22" t="s">
        <v>3562</v>
      </c>
      <c r="F102" s="22" t="s">
        <v>3312</v>
      </c>
      <c r="G102" s="22" t="s">
        <v>79</v>
      </c>
      <c r="H102" s="23" t="s">
        <v>63</v>
      </c>
      <c r="I102" s="12">
        <v>0.5</v>
      </c>
      <c r="J102" s="12">
        <v>0.5</v>
      </c>
      <c r="K102" s="12">
        <v>2</v>
      </c>
      <c r="L102" s="9">
        <f>SUM(I102:K102)</f>
      </c>
      <c r="M102" s="9">
        <v>100</v>
      </c>
      <c r="N102" s="14" t="s">
        <v>64</v>
      </c>
      <c r="O102" s="24" t="s">
        <v>65</v>
      </c>
      <c r="P102" s="25" t="s">
        <v>66</v>
      </c>
      <c r="Q102" s="22" t="s">
        <v>3313</v>
      </c>
    </row>
    <row r="103" ht="24" customHeight="1" spans="1:17" x14ac:dyDescent="0.25">
      <c r="A103" s="21" t="s">
        <v>3563</v>
      </c>
      <c r="B103" s="22" t="s">
        <v>34</v>
      </c>
      <c r="C103" s="22" t="s">
        <v>3509</v>
      </c>
      <c r="D103" s="22" t="s">
        <v>3564</v>
      </c>
      <c r="E103" s="22" t="s">
        <v>3565</v>
      </c>
      <c r="F103" s="22" t="s">
        <v>3317</v>
      </c>
      <c r="G103" s="22" t="s">
        <v>3318</v>
      </c>
      <c r="H103" s="26" t="s">
        <v>73</v>
      </c>
      <c r="I103" s="12">
        <v>0.5</v>
      </c>
      <c r="J103" s="12">
        <v>0.5</v>
      </c>
      <c r="K103" s="12">
        <v>2</v>
      </c>
      <c r="L103" s="9">
        <f>SUM(I103:K103)</f>
      </c>
      <c r="M103" s="9">
        <v>100</v>
      </c>
      <c r="N103" s="14" t="s">
        <v>64</v>
      </c>
      <c r="O103" s="24" t="s">
        <v>65</v>
      </c>
      <c r="P103" s="25" t="s">
        <v>66</v>
      </c>
      <c r="Q103" s="22" t="s">
        <v>3319</v>
      </c>
    </row>
    <row r="104" ht="24" customHeight="1" spans="1:17" x14ac:dyDescent="0.25">
      <c r="A104" s="21" t="s">
        <v>3566</v>
      </c>
      <c r="B104" s="22" t="s">
        <v>34</v>
      </c>
      <c r="C104" s="22" t="s">
        <v>3509</v>
      </c>
      <c r="D104" s="22" t="s">
        <v>3567</v>
      </c>
      <c r="E104" s="22" t="s">
        <v>3568</v>
      </c>
      <c r="F104" s="22" t="s">
        <v>3323</v>
      </c>
      <c r="G104" s="22" t="s">
        <v>2875</v>
      </c>
      <c r="H104" s="23" t="s">
        <v>63</v>
      </c>
      <c r="I104" s="12">
        <v>0.5</v>
      </c>
      <c r="J104" s="12">
        <v>0.5</v>
      </c>
      <c r="K104" s="12">
        <v>2</v>
      </c>
      <c r="L104" s="9">
        <f>SUM(I104:K104)</f>
      </c>
      <c r="M104" s="9">
        <v>100</v>
      </c>
      <c r="N104" s="14" t="s">
        <v>64</v>
      </c>
      <c r="O104" s="24" t="s">
        <v>65</v>
      </c>
      <c r="P104" s="25" t="s">
        <v>66</v>
      </c>
      <c r="Q104" s="22" t="s">
        <v>3324</v>
      </c>
    </row>
    <row r="105" ht="28" customHeight="1" spans="1:17" x14ac:dyDescent="0.25">
      <c r="A105" s="27" t="s">
        <v>35</v>
      </c>
      <c r="B105" s="27" t="s">
        <v>416</v>
      </c>
      <c r="C105" s="27"/>
      <c r="D105" s="27"/>
      <c r="E105" s="27"/>
      <c r="F105" s="27"/>
      <c r="G105" s="27"/>
      <c r="H105" s="27"/>
      <c r="I105" s="17">
        <f>SUM(I5:I104)</f>
      </c>
      <c r="J105" s="17">
        <f>SUM(J5:J104)</f>
      </c>
      <c r="K105" s="17">
        <f>SUM(K5:K104)</f>
      </c>
      <c r="L105" s="17">
        <f>SUM(L5:L104)</f>
      </c>
      <c r="M105" s="18">
        <f>AVERAGE(M5:M104)</f>
      </c>
      <c r="N105" s="27"/>
      <c r="O105" s="27"/>
      <c r="P105" s="27"/>
      <c r="Q105" s="27"/>
    </row>
  </sheetData>
  <autoFilter ref="A4:Q104"/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Tong_Quan_Dashboard</vt:lpstr>
      <vt:lpstr>WBS_01_CORE_AUTH_CRUD</vt:lpstr>
      <vt:lpstr>WBS_02_SEARCH_PAGE_THEME</vt:lpstr>
      <vt:lpstr>WBS_03_NETWORK_CONNECT</vt:lpstr>
      <vt:lpstr>WBS_04_MOMENTS_COMMUNITY</vt:lpstr>
      <vt:lpstr>WBS_05_CHAT_VIDEO_CALL</vt:lpstr>
      <vt:lpstr>WBS_06_CRM_LEADS_REFERRAL</vt:lpstr>
      <vt:lpstr>WBS_07_EMAIL_TEMPLATES</vt:lpstr>
      <vt:lpstr>WBS_08_B2B_MARKETPLACE</vt:lpstr>
      <vt:lpstr>WBS_09_FINANCE_VAT_EXCEL</vt:lpstr>
      <vt:lpstr>WBS_10_EVENT_SEAT_VOTE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VIONE PMO &amp; Principal Enterprise Architect</dc:creator>
  <dc:title/>
  <dc:subject/>
  <dc:description/>
  <cp:keywords/>
  <cp:category/>
  <cp:lastModifiedBy>Senior Technical Project Manager</cp:lastModifiedBy>
  <dcterms:created xsi:type="dcterms:W3CDTF">2026-09-13T06:03:48Z</dcterms:created>
  <dcterms:modified xsi:type="dcterms:W3CDTF">2026-09-13T06:03:48Z</dcterms:modified>
</cp:coreProperties>
</file>